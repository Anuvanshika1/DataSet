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_Summary" sheetId="1" state="visible" r:id="rId1"/>
    <sheet xmlns:r="http://schemas.openxmlformats.org/officeDocument/2006/relationships" name="Professor_Review_System" sheetId="2" state="visible" r:id="rId2"/>
  </sheets>
  <definedNames>
    <definedName name="_xlnm._FilterDatabase" localSheetId="1" hidden="1">'Professor_Review_System'!$A$1:$AG$101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2" t="inlineStr">
        <is>
          <t>Professor Review System — Four Analytics Coverage</t>
        </is>
      </c>
      <c r="B1" s="3" t="n"/>
    </row>
    <row r="2">
      <c r="A2" s="4" t="inlineStr">
        <is>
          <t>Analytics Type</t>
        </is>
      </c>
      <c r="B2" s="4" t="inlineStr">
        <is>
          <t>Strength / How Supported</t>
        </is>
      </c>
    </row>
    <row r="3">
      <c r="A3" s="3" t="inlineStr">
        <is>
          <t>Descriptive</t>
        </is>
      </c>
      <c r="B3" s="3" t="inlineStr">
        <is>
          <t>STRONG — ratings, averages, recommendation status and performance bands summarize what happened.</t>
        </is>
      </c>
    </row>
    <row r="4">
      <c r="A4" s="3" t="inlineStr">
        <is>
          <t>Diagnostic</t>
        </is>
      </c>
      <c r="B4" s="3" t="inlineStr">
        <is>
          <t>STRONG — primary driver and risk flag identify factors associated with weak outcomes.</t>
        </is>
      </c>
    </row>
    <row r="5">
      <c r="A5" s="3" t="inlineStr">
        <is>
          <t>Predictive</t>
        </is>
      </c>
      <c r="B5" s="3" t="inlineStr">
        <is>
          <t>STRONGER — recommendation score and predicted recommendation provide a transparent predictive proxy.</t>
        </is>
      </c>
    </row>
    <row r="6">
      <c r="A6" s="3" t="inlineStr">
        <is>
          <t>Prescriptive</t>
        </is>
      </c>
      <c r="B6" s="3" t="inlineStr">
        <is>
          <t>STRONGER — suggested actions and priority translate findings into decisions.</t>
        </is>
      </c>
    </row>
    <row r="7">
      <c r="A7" s="3" t="inlineStr">
        <is>
          <t>Important Note</t>
        </is>
      </c>
      <c r="B7" s="3" t="inlineStr">
        <is>
          <t>Predictive fields are rule-based analytical proxies, not a trained ML model. They are suitable for analytics demonstration; later replace them with model outputs when ML is taught.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30" customWidth="1" min="4" max="4"/>
    <col width="30" customWidth="1" min="5" max="5"/>
    <col width="30" customWidth="1" min="6" max="6"/>
    <col width="23" customWidth="1" min="7" max="7"/>
    <col width="25" customWidth="1" min="8" max="8"/>
    <col width="25" customWidth="1" min="9" max="9"/>
    <col width="25" customWidth="1" min="10" max="10"/>
    <col width="15" customWidth="1" min="11" max="11"/>
    <col width="21" customWidth="1" min="12" max="12"/>
    <col width="17" customWidth="1" min="13" max="13"/>
    <col width="18" customWidth="1" min="14" max="14"/>
    <col width="20" customWidth="1" min="15" max="15"/>
    <col width="18" customWidth="1" min="16" max="16"/>
    <col width="23" customWidth="1" min="17" max="17"/>
    <col width="17" customWidth="1" min="18" max="18"/>
    <col width="30" customWidth="1" min="19" max="19"/>
    <col width="12" customWidth="1" min="20" max="20"/>
    <col width="19" customWidth="1" min="21" max="21"/>
    <col width="23" customWidth="1" min="22" max="22"/>
    <col width="21" customWidth="1" min="23" max="23"/>
    <col width="23" customWidth="1" min="24" max="24"/>
    <col width="21" customWidth="1" min="25" max="25"/>
    <col width="17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</cols>
  <sheetData>
    <row r="1" ht="32" customHeight="1">
      <c r="A1" s="5" t="inlineStr">
        <is>
          <t>Professor_ID</t>
        </is>
      </c>
      <c r="B1" s="5" t="inlineStr">
        <is>
          <t>Professor_Name</t>
        </is>
      </c>
      <c r="C1" s="5" t="inlineStr">
        <is>
          <t>School</t>
        </is>
      </c>
      <c r="D1" s="5" t="inlineStr">
        <is>
          <t>Bachelors_Qualification</t>
        </is>
      </c>
      <c r="E1" s="5" t="inlineStr">
        <is>
          <t>Masters_Qualification</t>
        </is>
      </c>
      <c r="F1" s="5" t="inlineStr">
        <is>
          <t>Doctoral_Qualification</t>
        </is>
      </c>
      <c r="G1" s="5" t="inlineStr">
        <is>
          <t>Highest_Qualification</t>
        </is>
      </c>
      <c r="H1" s="5" t="inlineStr">
        <is>
          <t>Subject_1</t>
        </is>
      </c>
      <c r="I1" s="5" t="inlineStr">
        <is>
          <t>Subject_2</t>
        </is>
      </c>
      <c r="J1" s="5" t="inlineStr">
        <is>
          <t>Subject_3</t>
        </is>
      </c>
      <c r="K1" s="5" t="inlineStr">
        <is>
          <t>Reviewer_Year</t>
        </is>
      </c>
      <c r="L1" s="5" t="inlineStr">
        <is>
          <t>Reviewer_Department</t>
        </is>
      </c>
      <c r="M1" s="5" t="inlineStr">
        <is>
          <t>Teaching_Rating</t>
        </is>
      </c>
      <c r="N1" s="5" t="inlineStr">
        <is>
          <t>Knowledge_Rating</t>
        </is>
      </c>
      <c r="O1" s="5" t="inlineStr">
        <is>
          <t>Interaction_Rating</t>
        </is>
      </c>
      <c r="P1" s="5" t="inlineStr">
        <is>
          <t>Difficulty_Level</t>
        </is>
      </c>
      <c r="Q1" s="5" t="inlineStr">
        <is>
          <t>Attendance_Importance</t>
        </is>
      </c>
      <c r="R1" s="5" t="inlineStr">
        <is>
          <t>Would_Recommend</t>
        </is>
      </c>
      <c r="S1" s="5" t="inlineStr">
        <is>
          <t>Review_Text</t>
        </is>
      </c>
      <c r="T1" s="5" t="inlineStr">
        <is>
          <t>Avg_Rating</t>
        </is>
      </c>
      <c r="U1" s="5" t="inlineStr">
        <is>
          <t>Classes_Conducted</t>
        </is>
      </c>
      <c r="V1" s="5" t="inlineStr">
        <is>
          <t>Assignments_Per_Month</t>
        </is>
      </c>
      <c r="W1" s="5" t="inlineStr">
        <is>
          <t>Response_Time_Hours</t>
        </is>
      </c>
      <c r="X1" s="5" t="inlineStr">
        <is>
          <t>Research_Publications</t>
        </is>
      </c>
      <c r="Y1" s="5" t="inlineStr">
        <is>
          <t>Industry_Experience</t>
        </is>
      </c>
      <c r="Z1" s="5" t="inlineStr">
        <is>
          <t>Verified_Review</t>
        </is>
      </c>
      <c r="AA1" s="5" t="inlineStr">
        <is>
          <t>Descriptive_Performance_Band</t>
        </is>
      </c>
      <c r="AB1" s="5" t="inlineStr">
        <is>
          <t>Diagnostic_Primary_Driver</t>
        </is>
      </c>
      <c r="AC1" s="5" t="inlineStr">
        <is>
          <t>Diagnostic_Risk_Flag</t>
        </is>
      </c>
      <c r="AD1" s="5" t="inlineStr">
        <is>
          <t>Predictive_Recommendation_Score</t>
        </is>
      </c>
      <c r="AE1" s="5" t="inlineStr">
        <is>
          <t>Predicted_Would_Recommend</t>
        </is>
      </c>
      <c r="AF1" s="5" t="inlineStr">
        <is>
          <t>Prescriptive_Suggested_Action</t>
        </is>
      </c>
      <c r="AG1" s="5" t="inlineStr">
        <is>
          <t>Prescriptive_Priority</t>
        </is>
      </c>
    </row>
    <row r="2">
      <c r="A2" t="inlineStr">
        <is>
          <t>P001</t>
        </is>
      </c>
      <c r="B2" t="inlineStr">
        <is>
          <t>Dr. Aditi Sharma</t>
        </is>
      </c>
      <c r="C2" t="inlineStr">
        <is>
          <t>Computer Science</t>
        </is>
      </c>
      <c r="D2" t="inlineStr">
        <is>
          <t>B.Tech (Computer Science)</t>
        </is>
      </c>
      <c r="E2" t="inlineStr">
        <is>
          <t>M.Tech (Computer Science &amp; Engineering)</t>
        </is>
      </c>
      <c r="F2" t="inlineStr">
        <is>
          <t>Ph.D. in Data Science</t>
        </is>
      </c>
      <c r="G2" t="inlineStr">
        <is>
          <t>Ph.D.</t>
        </is>
      </c>
      <c r="H2" t="inlineStr">
        <is>
          <t>Data Science</t>
        </is>
      </c>
      <c r="I2" t="inlineStr">
        <is>
          <t>Python Programming</t>
        </is>
      </c>
      <c r="J2" t="inlineStr">
        <is>
          <t>Data Visualization</t>
        </is>
      </c>
      <c r="K2" t="inlineStr">
        <is>
          <t>4th</t>
        </is>
      </c>
      <c r="L2" t="inlineStr">
        <is>
          <t>CSE</t>
        </is>
      </c>
      <c r="M2" t="n">
        <v>4</v>
      </c>
      <c r="N2" t="n">
        <v>3</v>
      </c>
      <c r="O2" t="n">
        <v>5</v>
      </c>
      <c r="P2" t="n">
        <v>1</v>
      </c>
      <c r="Q2" t="n">
        <v>5</v>
      </c>
      <c r="R2" t="inlineStr">
        <is>
          <t>Yes</t>
        </is>
      </c>
      <c r="S2" t="inlineStr">
        <is>
          <t>Very supportive during class.</t>
        </is>
      </c>
      <c r="T2" t="n">
        <v>4</v>
      </c>
      <c r="U2" t="n">
        <v>29</v>
      </c>
      <c r="V2" t="n">
        <v>4</v>
      </c>
      <c r="W2" t="n">
        <v>2</v>
      </c>
      <c r="X2" t="n">
        <v>32</v>
      </c>
      <c r="Y2" t="n">
        <v>6</v>
      </c>
      <c r="Z2" t="inlineStr">
        <is>
          <t>Yes</t>
        </is>
      </c>
      <c r="AA2">
        <f>IF(T2="","Missing",IF(T2&gt;=4,"High",IF(T2&gt;=3,"Moderate","Low")))</f>
        <v/>
      </c>
      <c r="AB2">
        <f>IF(COUNT(M2:O2)&lt;3,"Insufficient data",IF(MIN(M2:O2)=M2,"Teaching",IF(MIN(M2:O2)=N2,"Knowledge",IF(MIN(M2:O2)=O2,"Interaction",IF(P2&gt;=4,"High difficulty",IF(W2&gt;48,"Slow response","Balanced"))))))</f>
        <v/>
      </c>
      <c r="AC2">
        <f>IF(OR(T2&lt;3,P2&gt;=4,W2&gt;48),"At Risk","Stable")</f>
        <v/>
      </c>
      <c r="AD2">
        <f>IF(COUNT(M2:O2)&lt;3,"",ROUND((M2*0.30+N2*0.25+O2*0.25+(6-P2)*0.10+IF(W2&lt;=24,5,IF(W2&lt;=48,3,1))*0.10),2))</f>
        <v/>
      </c>
      <c r="AE2">
        <f>IF(AD2="","Unknown",IF(AD2&gt;=3.5,"Yes","No"))</f>
        <v/>
      </c>
      <c r="AF2">
        <f>IF(AC2="At Risk",IF(M2&lt;3,"Improve teaching clarity",IF(O2&lt;3,"Increase student interaction",IF(P2&gt;=4,"Reduce perceived difficulty with examples",IF(W2&gt;48,"Improve response time","Review student feedback")))),"Maintain current approach")</f>
        <v/>
      </c>
      <c r="AG2">
        <f>IF(AC2="At Risk","High",IF(T2&lt;4,"Medium","Low"))</f>
        <v/>
      </c>
    </row>
    <row r="3">
      <c r="A3" t="inlineStr">
        <is>
          <t>P002</t>
        </is>
      </c>
      <c r="B3" t="inlineStr">
        <is>
          <t>Dr. Rahul Mehta</t>
        </is>
      </c>
      <c r="C3" t="inlineStr">
        <is>
          <t>Computer Science</t>
        </is>
      </c>
      <c r="D3" t="inlineStr">
        <is>
          <t>B.Tech (Information Technology)</t>
        </is>
      </c>
      <c r="E3" t="inlineStr">
        <is>
          <t>M.Tech (Computer Science)</t>
        </is>
      </c>
      <c r="F3" t="inlineStr">
        <is>
          <t>Ph.D. in Artificial Intelligence</t>
        </is>
      </c>
      <c r="G3" t="inlineStr">
        <is>
          <t>Ph.D.</t>
        </is>
      </c>
      <c r="H3" t="inlineStr">
        <is>
          <t>Artificial Intelligence</t>
        </is>
      </c>
      <c r="I3" t="inlineStr">
        <is>
          <t>Data Structures</t>
        </is>
      </c>
      <c r="J3" t="inlineStr">
        <is>
          <t>Computer Networks</t>
        </is>
      </c>
      <c r="K3" t="inlineStr">
        <is>
          <t>2nd</t>
        </is>
      </c>
      <c r="L3" t="inlineStr">
        <is>
          <t>AI &amp; DS</t>
        </is>
      </c>
      <c r="M3" t="n">
        <v>2</v>
      </c>
      <c r="N3" t="n">
        <v>2</v>
      </c>
      <c r="O3" t="n">
        <v>5</v>
      </c>
      <c r="P3" t="n">
        <v>1</v>
      </c>
      <c r="Q3" t="n">
        <v>5</v>
      </c>
      <c r="R3" t="inlineStr">
        <is>
          <t>No</t>
        </is>
      </c>
      <c r="S3" t="inlineStr">
        <is>
          <t>Explains concepts clearly.</t>
        </is>
      </c>
      <c r="T3" t="n">
        <v>3</v>
      </c>
      <c r="U3" t="n">
        <v>36</v>
      </c>
      <c r="V3" t="n">
        <v>0</v>
      </c>
      <c r="W3" t="n">
        <v>4</v>
      </c>
      <c r="X3" t="n">
        <v>3</v>
      </c>
      <c r="Y3" t="n">
        <v>12</v>
      </c>
      <c r="Z3" t="inlineStr">
        <is>
          <t>Yes</t>
        </is>
      </c>
      <c r="AA3">
        <f>IF(T3="","Missing",IF(T3&gt;=4,"High",IF(T3&gt;=3,"Moderate","Low")))</f>
        <v/>
      </c>
      <c r="AB3">
        <f>IF(COUNT(M3:O3)&lt;3,"Insufficient data",IF(MIN(M3:O3)=M3,"Teaching",IF(MIN(M3:O3)=N3,"Knowledge",IF(MIN(M3:O3)=O3,"Interaction",IF(P3&gt;=4,"High difficulty",IF(W3&gt;48,"Slow response","Balanced"))))))</f>
        <v/>
      </c>
      <c r="AC3">
        <f>IF(OR(T3&lt;3,P3&gt;=4,W3&gt;48),"At Risk","Stable")</f>
        <v/>
      </c>
      <c r="AD3">
        <f>IF(COUNT(M3:O3)&lt;3,"",ROUND((M3*0.30+N3*0.25+O3*0.25+(6-P3)*0.10+IF(W3&lt;=24,5,IF(W3&lt;=48,3,1))*0.10),2))</f>
        <v/>
      </c>
      <c r="AE3">
        <f>IF(AD3="","Unknown",IF(AD3&gt;=3.5,"Yes","No"))</f>
        <v/>
      </c>
      <c r="AF3">
        <f>IF(AC3="At Risk",IF(M3&lt;3,"Improve teaching clarity",IF(O3&lt;3,"Increase student interaction",IF(P3&gt;=4,"Reduce perceived difficulty with examples",IF(W3&gt;48,"Improve response time","Review student feedback")))),"Maintain current approach")</f>
        <v/>
      </c>
      <c r="AG3">
        <f>IF(AC3="At Risk","High",IF(T3&lt;4,"Medium","Low"))</f>
        <v/>
      </c>
    </row>
    <row r="4">
      <c r="A4" t="inlineStr">
        <is>
          <t>P003</t>
        </is>
      </c>
      <c r="B4" t="inlineStr">
        <is>
          <t>Prof. Neha Kapoor</t>
        </is>
      </c>
      <c r="C4" t="inlineStr">
        <is>
          <t>Business</t>
        </is>
      </c>
      <c r="D4" t="inlineStr">
        <is>
          <t>BBA</t>
        </is>
      </c>
      <c r="E4" t="inlineStr">
        <is>
          <t>MBA (Marketing)</t>
        </is>
      </c>
      <c r="F4" t="inlineStr">
        <is>
          <t>Ph.D. in Marketing Management</t>
        </is>
      </c>
      <c r="G4" t="inlineStr">
        <is>
          <t>Ph.D.</t>
        </is>
      </c>
      <c r="H4" t="inlineStr">
        <is>
          <t>Marketing</t>
        </is>
      </c>
      <c r="I4" t="inlineStr">
        <is>
          <t>Consumer Behaviour</t>
        </is>
      </c>
      <c r="J4" t="inlineStr">
        <is>
          <t>Digital Marketing</t>
        </is>
      </c>
      <c r="K4" t="inlineStr">
        <is>
          <t>3rd</t>
        </is>
      </c>
      <c r="L4" t="inlineStr">
        <is>
          <t>Law</t>
        </is>
      </c>
      <c r="M4" t="n">
        <v>3</v>
      </c>
      <c r="N4" t="n">
        <v>2</v>
      </c>
      <c r="O4" t="n">
        <v>3</v>
      </c>
      <c r="P4" t="n">
        <v>2</v>
      </c>
      <c r="Q4" t="n">
        <v>5</v>
      </c>
      <c r="R4" t="inlineStr">
        <is>
          <t>Yes</t>
        </is>
      </c>
      <c r="S4" t="inlineStr">
        <is>
          <t>Helpful after lectures.</t>
        </is>
      </c>
      <c r="T4" t="n">
        <v>2.67</v>
      </c>
      <c r="U4" t="n">
        <v>27</v>
      </c>
      <c r="V4" t="n">
        <v>4</v>
      </c>
      <c r="W4" t="n">
        <v>72</v>
      </c>
      <c r="X4" t="n">
        <v>11</v>
      </c>
      <c r="Y4" t="n">
        <v>3</v>
      </c>
      <c r="Z4" t="inlineStr">
        <is>
          <t>Yes</t>
        </is>
      </c>
      <c r="AA4">
        <f>IF(T4="","Missing",IF(T4&gt;=4,"High",IF(T4&gt;=3,"Moderate","Low")))</f>
        <v/>
      </c>
      <c r="AB4">
        <f>IF(COUNT(M4:O4)&lt;3,"Insufficient data",IF(MIN(M4:O4)=M4,"Teaching",IF(MIN(M4:O4)=N4,"Knowledge",IF(MIN(M4:O4)=O4,"Interaction",IF(P4&gt;=4,"High difficulty",IF(W4&gt;48,"Slow response","Balanced"))))))</f>
        <v/>
      </c>
      <c r="AC4">
        <f>IF(OR(T4&lt;3,P4&gt;=4,W4&gt;48),"At Risk","Stable")</f>
        <v/>
      </c>
      <c r="AD4">
        <f>IF(COUNT(M4:O4)&lt;3,"",ROUND((M4*0.30+N4*0.25+O4*0.25+(6-P4)*0.10+IF(W4&lt;=24,5,IF(W4&lt;=48,3,1))*0.10),2))</f>
        <v/>
      </c>
      <c r="AE4">
        <f>IF(AD4="","Unknown",IF(AD4&gt;=3.5,"Yes","No"))</f>
        <v/>
      </c>
      <c r="AF4">
        <f>IF(AC4="At Risk",IF(M4&lt;3,"Improve teaching clarity",IF(O4&lt;3,"Increase student interaction",IF(P4&gt;=4,"Reduce perceived difficulty with examples",IF(W4&gt;48,"Improve response time","Review student feedback")))),"Maintain current approach")</f>
        <v/>
      </c>
      <c r="AG4">
        <f>IF(AC4="At Risk","High",IF(T4&lt;4,"Medium","Low"))</f>
        <v/>
      </c>
    </row>
    <row r="5">
      <c r="A5" t="inlineStr">
        <is>
          <t>P004</t>
        </is>
      </c>
      <c r="B5" t="inlineStr">
        <is>
          <t>Dr. Arjun Verma</t>
        </is>
      </c>
      <c r="C5" t="inlineStr">
        <is>
          <t>Business</t>
        </is>
      </c>
      <c r="D5" t="inlineStr">
        <is>
          <t>B.Com</t>
        </is>
      </c>
      <c r="E5" t="inlineStr">
        <is>
          <t>MBA (Finance)</t>
        </is>
      </c>
      <c r="F5" t="inlineStr">
        <is>
          <t>Ph.D. in Finance</t>
        </is>
      </c>
      <c r="G5" t="inlineStr">
        <is>
          <t>Ph.D.</t>
        </is>
      </c>
      <c r="H5" t="inlineStr">
        <is>
          <t>Finance</t>
        </is>
      </c>
      <c r="I5" t="inlineStr">
        <is>
          <t>Investment Analysis</t>
        </is>
      </c>
      <c r="J5" t="inlineStr">
        <is>
          <t>Business Statistics</t>
        </is>
      </c>
      <c r="K5" t="inlineStr">
        <is>
          <t>4th</t>
        </is>
      </c>
      <c r="L5" t="inlineStr">
        <is>
          <t>CSE</t>
        </is>
      </c>
      <c r="M5" t="n">
        <v>4</v>
      </c>
      <c r="N5" t="n">
        <v>3</v>
      </c>
      <c r="O5" t="n">
        <v>2</v>
      </c>
      <c r="P5" t="n">
        <v>5</v>
      </c>
      <c r="Q5" t="n">
        <v>2</v>
      </c>
      <c r="R5" t="inlineStr">
        <is>
          <t>No</t>
        </is>
      </c>
      <c r="S5" t="inlineStr">
        <is>
          <t>Too fast sometimes.</t>
        </is>
      </c>
      <c r="T5" t="n">
        <v>3</v>
      </c>
      <c r="U5" t="n">
        <v>31</v>
      </c>
      <c r="V5" t="n">
        <v>6</v>
      </c>
      <c r="W5" t="n">
        <v>6</v>
      </c>
      <c r="X5" t="n">
        <v>29</v>
      </c>
      <c r="Y5" t="n">
        <v>14</v>
      </c>
      <c r="Z5" t="inlineStr">
        <is>
          <t>No</t>
        </is>
      </c>
      <c r="AA5">
        <f>IF(T5="","Missing",IF(T5&gt;=4,"High",IF(T5&gt;=3,"Moderate","Low")))</f>
        <v/>
      </c>
      <c r="AB5">
        <f>IF(COUNT(M5:O5)&lt;3,"Insufficient data",IF(MIN(M5:O5)=M5,"Teaching",IF(MIN(M5:O5)=N5,"Knowledge",IF(MIN(M5:O5)=O5,"Interaction",IF(P5&gt;=4,"High difficulty",IF(W5&gt;48,"Slow response","Balanced"))))))</f>
        <v/>
      </c>
      <c r="AC5">
        <f>IF(OR(T5&lt;3,P5&gt;=4,W5&gt;48),"At Risk","Stable")</f>
        <v/>
      </c>
      <c r="AD5">
        <f>IF(COUNT(M5:O5)&lt;3,"",ROUND((M5*0.30+N5*0.25+O5*0.25+(6-P5)*0.10+IF(W5&lt;=24,5,IF(W5&lt;=48,3,1))*0.10),2))</f>
        <v/>
      </c>
      <c r="AE5">
        <f>IF(AD5="","Unknown",IF(AD5&gt;=3.5,"Yes","No"))</f>
        <v/>
      </c>
      <c r="AF5">
        <f>IF(AC5="At Risk",IF(M5&lt;3,"Improve teaching clarity",IF(O5&lt;3,"Increase student interaction",IF(P5&gt;=4,"Reduce perceived difficulty with examples",IF(W5&gt;48,"Improve response time","Review student feedback")))),"Maintain current approach")</f>
        <v/>
      </c>
      <c r="AG5">
        <f>IF(AC5="At Risk","High",IF(T5&lt;4,"Medium","Low"))</f>
        <v/>
      </c>
    </row>
    <row r="6">
      <c r="A6" t="inlineStr">
        <is>
          <t>P005</t>
        </is>
      </c>
      <c r="B6" t="inlineStr">
        <is>
          <t>Dr. Simran Kaur</t>
        </is>
      </c>
      <c r="C6" t="inlineStr">
        <is>
          <t>Law</t>
        </is>
      </c>
      <c r="D6" t="inlineStr">
        <is>
          <t>B.A. LL.B. (Hons.)</t>
        </is>
      </c>
      <c r="E6" t="inlineStr">
        <is>
          <t>LL.M. (Constitutional Law)</t>
        </is>
      </c>
      <c r="F6" t="inlineStr">
        <is>
          <t>Ph.D. in Constitutional Law</t>
        </is>
      </c>
      <c r="G6" t="inlineStr">
        <is>
          <t>Ph.D.</t>
        </is>
      </c>
      <c r="H6" t="inlineStr">
        <is>
          <t>Constitutional Law</t>
        </is>
      </c>
      <c r="I6" t="inlineStr">
        <is>
          <t>Legal Research</t>
        </is>
      </c>
      <c r="J6" t="inlineStr">
        <is>
          <t>Jurisprudence</t>
        </is>
      </c>
      <c r="K6" t="inlineStr">
        <is>
          <t>4th</t>
        </is>
      </c>
      <c r="L6" t="inlineStr">
        <is>
          <t>AI &amp; DS</t>
        </is>
      </c>
      <c r="M6" t="n">
        <v>4</v>
      </c>
      <c r="N6" t="n">
        <v>3</v>
      </c>
      <c r="O6" t="n">
        <v>3</v>
      </c>
      <c r="P6" t="n">
        <v>1</v>
      </c>
      <c r="Q6" t="n">
        <v>5</v>
      </c>
      <c r="R6" t="inlineStr">
        <is>
          <t>No</t>
        </is>
      </c>
      <c r="S6" t="inlineStr">
        <is>
          <t>Too fast sometimes.</t>
        </is>
      </c>
      <c r="T6" t="n">
        <v>3.33</v>
      </c>
      <c r="U6" t="n">
        <v>33</v>
      </c>
      <c r="V6" t="n">
        <v>2</v>
      </c>
      <c r="W6" t="n">
        <v>48</v>
      </c>
      <c r="X6" t="n">
        <v>28</v>
      </c>
      <c r="Y6" t="n">
        <v>9</v>
      </c>
      <c r="Z6" t="inlineStr">
        <is>
          <t>Yes</t>
        </is>
      </c>
      <c r="AA6">
        <f>IF(T6="","Missing",IF(T6&gt;=4,"High",IF(T6&gt;=3,"Moderate","Low")))</f>
        <v/>
      </c>
      <c r="AB6">
        <f>IF(COUNT(M6:O6)&lt;3,"Insufficient data",IF(MIN(M6:O6)=M6,"Teaching",IF(MIN(M6:O6)=N6,"Knowledge",IF(MIN(M6:O6)=O6,"Interaction",IF(P6&gt;=4,"High difficulty",IF(W6&gt;48,"Slow response","Balanced"))))))</f>
        <v/>
      </c>
      <c r="AC6">
        <f>IF(OR(T6&lt;3,P6&gt;=4,W6&gt;48),"At Risk","Stable")</f>
        <v/>
      </c>
      <c r="AD6">
        <f>IF(COUNT(M6:O6)&lt;3,"",ROUND((M6*0.30+N6*0.25+O6*0.25+(6-P6)*0.10+IF(W6&lt;=24,5,IF(W6&lt;=48,3,1))*0.10),2))</f>
        <v/>
      </c>
      <c r="AE6">
        <f>IF(AD6="","Unknown",IF(AD6&gt;=3.5,"Yes","No"))</f>
        <v/>
      </c>
      <c r="AF6">
        <f>IF(AC6="At Risk",IF(M6&lt;3,"Improve teaching clarity",IF(O6&lt;3,"Increase student interaction",IF(P6&gt;=4,"Reduce perceived difficulty with examples",IF(W6&gt;48,"Improve response time","Review student feedback")))),"Maintain current approach")</f>
        <v/>
      </c>
      <c r="AG6">
        <f>IF(AC6="At Risk","High",IF(T6&lt;4,"Medium","Low"))</f>
        <v/>
      </c>
    </row>
    <row r="7">
      <c r="A7" t="inlineStr">
        <is>
          <t>P006</t>
        </is>
      </c>
      <c r="B7" t="inlineStr">
        <is>
          <t>Prof. Vivek Saini</t>
        </is>
      </c>
      <c r="C7" t="inlineStr">
        <is>
          <t>Law</t>
        </is>
      </c>
      <c r="D7" t="inlineStr">
        <is>
          <t>B.A. LL.B.</t>
        </is>
      </c>
      <c r="E7" t="inlineStr">
        <is>
          <t>LL.M. (Corporate Law)</t>
        </is>
      </c>
      <c r="G7" t="inlineStr">
        <is>
          <t>LL.M.</t>
        </is>
      </c>
      <c r="H7" t="inlineStr">
        <is>
          <t>Corporate Law</t>
        </is>
      </c>
      <c r="I7" t="inlineStr">
        <is>
          <t>Cyber Law</t>
        </is>
      </c>
      <c r="J7" t="inlineStr">
        <is>
          <t>IPR</t>
        </is>
      </c>
      <c r="K7" t="inlineStr">
        <is>
          <t>2nd</t>
        </is>
      </c>
      <c r="L7" t="inlineStr">
        <is>
          <t>Business</t>
        </is>
      </c>
      <c r="M7" t="n">
        <v>2</v>
      </c>
      <c r="N7" t="n">
        <v>3</v>
      </c>
      <c r="O7" t="n">
        <v>5</v>
      </c>
      <c r="P7" t="n">
        <v>2</v>
      </c>
      <c r="Q7" t="n">
        <v>4</v>
      </c>
      <c r="R7" t="inlineStr">
        <is>
          <t>No</t>
        </is>
      </c>
      <c r="S7" t="inlineStr">
        <is>
          <t>Explains concepts clearly.</t>
        </is>
      </c>
      <c r="T7" t="n">
        <v>3.33</v>
      </c>
      <c r="U7" t="n">
        <v>39</v>
      </c>
      <c r="V7" t="n">
        <v>0</v>
      </c>
      <c r="W7" t="n">
        <v>72</v>
      </c>
      <c r="X7" t="n">
        <v>35</v>
      </c>
      <c r="Y7" t="n">
        <v>10</v>
      </c>
      <c r="Z7" t="inlineStr">
        <is>
          <t>No</t>
        </is>
      </c>
      <c r="AA7">
        <f>IF(T7="","Missing",IF(T7&gt;=4,"High",IF(T7&gt;=3,"Moderate","Low")))</f>
        <v/>
      </c>
      <c r="AB7">
        <f>IF(COUNT(M7:O7)&lt;3,"Insufficient data",IF(MIN(M7:O7)=M7,"Teaching",IF(MIN(M7:O7)=N7,"Knowledge",IF(MIN(M7:O7)=O7,"Interaction",IF(P7&gt;=4,"High difficulty",IF(W7&gt;48,"Slow response","Balanced"))))))</f>
        <v/>
      </c>
      <c r="AC7">
        <f>IF(OR(T7&lt;3,P7&gt;=4,W7&gt;48),"At Risk","Stable")</f>
        <v/>
      </c>
      <c r="AD7">
        <f>IF(COUNT(M7:O7)&lt;3,"",ROUND((M7*0.30+N7*0.25+O7*0.25+(6-P7)*0.10+IF(W7&lt;=24,5,IF(W7&lt;=48,3,1))*0.10),2))</f>
        <v/>
      </c>
      <c r="AE7">
        <f>IF(AD7="","Unknown",IF(AD7&gt;=3.5,"Yes","No"))</f>
        <v/>
      </c>
      <c r="AF7">
        <f>IF(AC7="At Risk",IF(M7&lt;3,"Improve teaching clarity",IF(O7&lt;3,"Increase student interaction",IF(P7&gt;=4,"Reduce perceived difficulty with examples",IF(W7&gt;48,"Improve response time","Review student feedback")))),"Maintain current approach")</f>
        <v/>
      </c>
      <c r="AG7">
        <f>IF(AC7="At Risk","High",IF(T7&lt;4,"Medium","Low"))</f>
        <v/>
      </c>
    </row>
    <row r="8">
      <c r="A8" t="inlineStr">
        <is>
          <t>P007</t>
        </is>
      </c>
      <c r="B8" t="inlineStr">
        <is>
          <t>Dr. Ritu Joshi</t>
        </is>
      </c>
      <c r="C8" t="inlineStr">
        <is>
          <t>Liberal Studies</t>
        </is>
      </c>
      <c r="D8" t="inlineStr">
        <is>
          <t>B.A. (Psychology)</t>
        </is>
      </c>
      <c r="E8" t="inlineStr">
        <is>
          <t>M.A. (Psychology)</t>
        </is>
      </c>
      <c r="F8" t="inlineStr">
        <is>
          <t>Ph.D. in Psychology</t>
        </is>
      </c>
      <c r="G8" t="inlineStr">
        <is>
          <t>Ph.D.</t>
        </is>
      </c>
      <c r="H8" t="inlineStr">
        <is>
          <t>Psychology</t>
        </is>
      </c>
      <c r="I8" t="inlineStr">
        <is>
          <t>Research Methodology</t>
        </is>
      </c>
      <c r="J8" t="inlineStr">
        <is>
          <t>Personality Development</t>
        </is>
      </c>
      <c r="K8" t="inlineStr">
        <is>
          <t>4th</t>
        </is>
      </c>
      <c r="L8" t="inlineStr">
        <is>
          <t>Law</t>
        </is>
      </c>
      <c r="M8" t="n">
        <v>4</v>
      </c>
      <c r="N8" t="n">
        <v>5</v>
      </c>
      <c r="O8" t="n">
        <v>5</v>
      </c>
      <c r="P8" t="n">
        <v>1</v>
      </c>
      <c r="Q8" t="n">
        <v>1</v>
      </c>
      <c r="R8" t="inlineStr">
        <is>
          <t>Yes</t>
        </is>
      </c>
      <c r="S8" t="inlineStr">
        <is>
          <t>Assignments are difficult.</t>
        </is>
      </c>
      <c r="T8" t="n">
        <v>4.67</v>
      </c>
      <c r="U8" t="n">
        <v>33</v>
      </c>
      <c r="V8" t="n">
        <v>5</v>
      </c>
      <c r="W8" t="n">
        <v>48</v>
      </c>
      <c r="X8" t="n">
        <v>4</v>
      </c>
      <c r="Y8" t="n">
        <v>1</v>
      </c>
      <c r="Z8" t="inlineStr">
        <is>
          <t>No</t>
        </is>
      </c>
      <c r="AA8">
        <f>IF(T8="","Missing",IF(T8&gt;=4,"High",IF(T8&gt;=3,"Moderate","Low")))</f>
        <v/>
      </c>
      <c r="AB8">
        <f>IF(COUNT(M8:O8)&lt;3,"Insufficient data",IF(MIN(M8:O8)=M8,"Teaching",IF(MIN(M8:O8)=N8,"Knowledge",IF(MIN(M8:O8)=O8,"Interaction",IF(P8&gt;=4,"High difficulty",IF(W8&gt;48,"Slow response","Balanced"))))))</f>
        <v/>
      </c>
      <c r="AC8">
        <f>IF(OR(T8&lt;3,P8&gt;=4,W8&gt;48),"At Risk","Stable")</f>
        <v/>
      </c>
      <c r="AD8">
        <f>IF(COUNT(M8:O8)&lt;3,"",ROUND((M8*0.30+N8*0.25+O8*0.25+(6-P8)*0.10+IF(W8&lt;=24,5,IF(W8&lt;=48,3,1))*0.10),2))</f>
        <v/>
      </c>
      <c r="AE8">
        <f>IF(AD8="","Unknown",IF(AD8&gt;=3.5,"Yes","No"))</f>
        <v/>
      </c>
      <c r="AF8">
        <f>IF(AC8="At Risk",IF(M8&lt;3,"Improve teaching clarity",IF(O8&lt;3,"Increase student interaction",IF(P8&gt;=4,"Reduce perceived difficulty with examples",IF(W8&gt;48,"Improve response time","Review student feedback")))),"Maintain current approach")</f>
        <v/>
      </c>
      <c r="AG8">
        <f>IF(AC8="At Risk","High",IF(T8&lt;4,"Medium","Low"))</f>
        <v/>
      </c>
    </row>
    <row r="9">
      <c r="A9" t="inlineStr">
        <is>
          <t>P008</t>
        </is>
      </c>
      <c r="B9" t="inlineStr">
        <is>
          <t>Prof. Karan Bhatia</t>
        </is>
      </c>
      <c r="C9" t="inlineStr">
        <is>
          <t>Liberal Studies</t>
        </is>
      </c>
      <c r="D9" t="inlineStr">
        <is>
          <t>B.A. (Sociology)</t>
        </is>
      </c>
      <c r="E9" t="inlineStr">
        <is>
          <t>M.A. (Sociology)</t>
        </is>
      </c>
      <c r="G9" t="inlineStr">
        <is>
          <t>M.A.</t>
        </is>
      </c>
      <c r="H9" t="inlineStr">
        <is>
          <t>Sociology</t>
        </is>
      </c>
      <c r="I9" t="inlineStr">
        <is>
          <t>Critical Thinking</t>
        </is>
      </c>
      <c r="J9" t="inlineStr">
        <is>
          <t>Communication Skills</t>
        </is>
      </c>
      <c r="K9" t="inlineStr">
        <is>
          <t>4th</t>
        </is>
      </c>
      <c r="L9" t="inlineStr">
        <is>
          <t>Business</t>
        </is>
      </c>
      <c r="M9" t="n">
        <v>5</v>
      </c>
      <c r="N9" t="n">
        <v>5</v>
      </c>
      <c r="O9" t="n">
        <v>5</v>
      </c>
      <c r="P9" t="n">
        <v>1</v>
      </c>
      <c r="Q9" t="n">
        <v>4</v>
      </c>
      <c r="R9" t="inlineStr">
        <is>
          <t>Yes</t>
        </is>
      </c>
      <c r="S9" t="inlineStr">
        <is>
          <t>Interactive sessions.</t>
        </is>
      </c>
      <c r="T9" t="n">
        <v>5</v>
      </c>
      <c r="U9" t="n">
        <v>23</v>
      </c>
      <c r="V9" t="n">
        <v>4</v>
      </c>
      <c r="W9" t="n">
        <v>2</v>
      </c>
      <c r="X9" t="n">
        <v>31</v>
      </c>
      <c r="Y9" t="n">
        <v>1</v>
      </c>
      <c r="Z9" t="inlineStr">
        <is>
          <t>Yes</t>
        </is>
      </c>
      <c r="AA9">
        <f>IF(T9="","Missing",IF(T9&gt;=4,"High",IF(T9&gt;=3,"Moderate","Low")))</f>
        <v/>
      </c>
      <c r="AB9">
        <f>IF(COUNT(M9:O9)&lt;3,"Insufficient data",IF(MIN(M9:O9)=M9,"Teaching",IF(MIN(M9:O9)=N9,"Knowledge",IF(MIN(M9:O9)=O9,"Interaction",IF(P9&gt;=4,"High difficulty",IF(W9&gt;48,"Slow response","Balanced"))))))</f>
        <v/>
      </c>
      <c r="AC9">
        <f>IF(OR(T9&lt;3,P9&gt;=4,W9&gt;48),"At Risk","Stable")</f>
        <v/>
      </c>
      <c r="AD9">
        <f>IF(COUNT(M9:O9)&lt;3,"",ROUND((M9*0.30+N9*0.25+O9*0.25+(6-P9)*0.10+IF(W9&lt;=24,5,IF(W9&lt;=48,3,1))*0.10),2))</f>
        <v/>
      </c>
      <c r="AE9">
        <f>IF(AD9="","Unknown",IF(AD9&gt;=3.5,"Yes","No"))</f>
        <v/>
      </c>
      <c r="AF9">
        <f>IF(AC9="At Risk",IF(M9&lt;3,"Improve teaching clarity",IF(O9&lt;3,"Increase student interaction",IF(P9&gt;=4,"Reduce perceived difficulty with examples",IF(W9&gt;48,"Improve response time","Review student feedback")))),"Maintain current approach")</f>
        <v/>
      </c>
      <c r="AG9">
        <f>IF(AC9="At Risk","High",IF(T9&lt;4,"Medium","Low"))</f>
        <v/>
      </c>
    </row>
    <row r="10">
      <c r="A10" t="inlineStr">
        <is>
          <t>P009</t>
        </is>
      </c>
      <c r="B10" t="inlineStr">
        <is>
          <t>Dr. Priya Nanda</t>
        </is>
      </c>
      <c r="C10" t="inlineStr">
        <is>
          <t>Computer Science</t>
        </is>
      </c>
      <c r="D10" t="inlineStr">
        <is>
          <t>B.Tech (Computer Science)</t>
        </is>
      </c>
      <c r="E10" t="inlineStr">
        <is>
          <t>M.Tech (Machine Learning)</t>
        </is>
      </c>
      <c r="F10" t="inlineStr">
        <is>
          <t>Ph.D. in Computer Science</t>
        </is>
      </c>
      <c r="G10" t="inlineStr">
        <is>
          <t>Ph.D.</t>
        </is>
      </c>
      <c r="H10" t="inlineStr">
        <is>
          <t>Machine Learning</t>
        </is>
      </c>
      <c r="I10" t="inlineStr">
        <is>
          <t>Artificial Intelligence</t>
        </is>
      </c>
      <c r="J10" t="inlineStr">
        <is>
          <t>Data Mining</t>
        </is>
      </c>
      <c r="K10" t="inlineStr">
        <is>
          <t>3rd</t>
        </is>
      </c>
      <c r="L10" t="inlineStr">
        <is>
          <t>Law</t>
        </is>
      </c>
      <c r="M10" t="n">
        <v>4</v>
      </c>
      <c r="N10" t="n">
        <v>3</v>
      </c>
      <c r="O10" t="n">
        <v>3</v>
      </c>
      <c r="P10" t="n">
        <v>4</v>
      </c>
      <c r="Q10" t="n">
        <v>1</v>
      </c>
      <c r="R10" t="inlineStr">
        <is>
          <t>Yes</t>
        </is>
      </c>
      <c r="S10" t="inlineStr">
        <is>
          <t>Highly recommended.</t>
        </is>
      </c>
      <c r="T10" t="n">
        <v>3.33</v>
      </c>
      <c r="U10" t="n">
        <v>30</v>
      </c>
      <c r="V10" t="n">
        <v>4</v>
      </c>
      <c r="W10" t="n">
        <v>6</v>
      </c>
      <c r="X10" t="n">
        <v>8</v>
      </c>
      <c r="Y10" t="n">
        <v>13</v>
      </c>
      <c r="Z10" t="inlineStr">
        <is>
          <t>No</t>
        </is>
      </c>
      <c r="AA10">
        <f>IF(T10="","Missing",IF(T10&gt;=4,"High",IF(T10&gt;=3,"Moderate","Low")))</f>
        <v/>
      </c>
      <c r="AB10">
        <f>IF(COUNT(M10:O10)&lt;3,"Insufficient data",IF(MIN(M10:O10)=M10,"Teaching",IF(MIN(M10:O10)=N10,"Knowledge",IF(MIN(M10:O10)=O10,"Interaction",IF(P10&gt;=4,"High difficulty",IF(W10&gt;48,"Slow response","Balanced"))))))</f>
        <v/>
      </c>
      <c r="AC10">
        <f>IF(OR(T10&lt;3,P10&gt;=4,W10&gt;48),"At Risk","Stable")</f>
        <v/>
      </c>
      <c r="AD10">
        <f>IF(COUNT(M10:O10)&lt;3,"",ROUND((M10*0.30+N10*0.25+O10*0.25+(6-P10)*0.10+IF(W10&lt;=24,5,IF(W10&lt;=48,3,1))*0.10),2))</f>
        <v/>
      </c>
      <c r="AE10">
        <f>IF(AD10="","Unknown",IF(AD10&gt;=3.5,"Yes","No"))</f>
        <v/>
      </c>
      <c r="AF10">
        <f>IF(AC10="At Risk",IF(M10&lt;3,"Improve teaching clarity",IF(O10&lt;3,"Increase student interaction",IF(P10&gt;=4,"Reduce perceived difficulty with examples",IF(W10&gt;48,"Improve response time","Review student feedback")))),"Maintain current approach")</f>
        <v/>
      </c>
      <c r="AG10">
        <f>IF(AC10="At Risk","High",IF(T10&lt;4,"Medium","Low"))</f>
        <v/>
      </c>
    </row>
    <row r="11">
      <c r="A11" t="inlineStr">
        <is>
          <t>P010</t>
        </is>
      </c>
      <c r="B11" t="inlineStr">
        <is>
          <t>Dr. Mohit Arora</t>
        </is>
      </c>
      <c r="C11" t="inlineStr">
        <is>
          <t>Business</t>
        </is>
      </c>
      <c r="D11" t="inlineStr">
        <is>
          <t>BBA</t>
        </is>
      </c>
      <c r="E11" t="inlineStr">
        <is>
          <t>MBA (Business Analytics)</t>
        </is>
      </c>
      <c r="G11" t="inlineStr">
        <is>
          <t>MBA</t>
        </is>
      </c>
      <c r="H11" t="inlineStr">
        <is>
          <t>Business Analytics</t>
        </is>
      </c>
      <c r="I11" t="inlineStr">
        <is>
          <t>Operations Management</t>
        </is>
      </c>
      <c r="J11" t="inlineStr">
        <is>
          <t>Excel for Business</t>
        </is>
      </c>
      <c r="K11" t="inlineStr">
        <is>
          <t>2nd</t>
        </is>
      </c>
      <c r="L11" t="inlineStr">
        <is>
          <t>AI &amp; DS</t>
        </is>
      </c>
      <c r="M11" t="n">
        <v>5</v>
      </c>
      <c r="N11" t="n">
        <v>5</v>
      </c>
      <c r="O11" t="n">
        <v>5</v>
      </c>
      <c r="P11" t="n">
        <v>1</v>
      </c>
      <c r="Q11" t="n">
        <v>2</v>
      </c>
      <c r="R11" t="inlineStr">
        <is>
          <t>Yes</t>
        </is>
      </c>
      <c r="S11" t="inlineStr">
        <is>
          <t>Needs more practical examples.</t>
        </is>
      </c>
      <c r="T11" t="n">
        <v>5</v>
      </c>
      <c r="U11" t="n">
        <v>25</v>
      </c>
      <c r="V11" t="n">
        <v>5</v>
      </c>
      <c r="W11" t="n">
        <v>4</v>
      </c>
      <c r="X11" t="n">
        <v>0</v>
      </c>
      <c r="Y11" t="n">
        <v>15</v>
      </c>
      <c r="Z11" t="inlineStr">
        <is>
          <t>Yes</t>
        </is>
      </c>
      <c r="AA11">
        <f>IF(T11="","Missing",IF(T11&gt;=4,"High",IF(T11&gt;=3,"Moderate","Low")))</f>
        <v/>
      </c>
      <c r="AB11">
        <f>IF(COUNT(M11:O11)&lt;3,"Insufficient data",IF(MIN(M11:O11)=M11,"Teaching",IF(MIN(M11:O11)=N11,"Knowledge",IF(MIN(M11:O11)=O11,"Interaction",IF(P11&gt;=4,"High difficulty",IF(W11&gt;48,"Slow response","Balanced"))))))</f>
        <v/>
      </c>
      <c r="AC11">
        <f>IF(OR(T11&lt;3,P11&gt;=4,W11&gt;48),"At Risk","Stable")</f>
        <v/>
      </c>
      <c r="AD11">
        <f>IF(COUNT(M11:O11)&lt;3,"",ROUND((M11*0.30+N11*0.25+O11*0.25+(6-P11)*0.10+IF(W11&lt;=24,5,IF(W11&lt;=48,3,1))*0.10),2))</f>
        <v/>
      </c>
      <c r="AE11">
        <f>IF(AD11="","Unknown",IF(AD11&gt;=3.5,"Yes","No"))</f>
        <v/>
      </c>
      <c r="AF11">
        <f>IF(AC11="At Risk",IF(M11&lt;3,"Improve teaching clarity",IF(O11&lt;3,"Increase student interaction",IF(P11&gt;=4,"Reduce perceived difficulty with examples",IF(W11&gt;48,"Improve response time","Review student feedback")))),"Maintain current approach")</f>
        <v/>
      </c>
      <c r="AG11">
        <f>IF(AC11="At Risk","High",IF(T11&lt;4,"Medium","Low"))</f>
        <v/>
      </c>
    </row>
    <row r="12">
      <c r="A12" t="inlineStr">
        <is>
          <t>P001</t>
        </is>
      </c>
      <c r="B12" t="inlineStr">
        <is>
          <t>Dr. Aditi Sharma</t>
        </is>
      </c>
      <c r="C12" t="inlineStr">
        <is>
          <t>Computer Science</t>
        </is>
      </c>
      <c r="D12" t="inlineStr">
        <is>
          <t>B.Tech (Computer Science)</t>
        </is>
      </c>
      <c r="E12" t="inlineStr">
        <is>
          <t>M.Tech (Computer Science &amp; Engineering)</t>
        </is>
      </c>
      <c r="F12" t="inlineStr">
        <is>
          <t>Ph.D. in Data Science</t>
        </is>
      </c>
      <c r="G12" t="inlineStr">
        <is>
          <t>Ph.D.</t>
        </is>
      </c>
      <c r="H12" t="inlineStr">
        <is>
          <t>Data Science</t>
        </is>
      </c>
      <c r="I12" t="inlineStr">
        <is>
          <t>Python Programming</t>
        </is>
      </c>
      <c r="J12" t="inlineStr">
        <is>
          <t>Data Visualization</t>
        </is>
      </c>
      <c r="K12" t="inlineStr">
        <is>
          <t>2nd</t>
        </is>
      </c>
      <c r="L12" t="inlineStr">
        <is>
          <t>Law</t>
        </is>
      </c>
      <c r="M12" t="n">
        <v>4</v>
      </c>
      <c r="N12" t="n">
        <v>4</v>
      </c>
      <c r="O12" t="n">
        <v>2</v>
      </c>
      <c r="P12" t="n">
        <v>5</v>
      </c>
      <c r="Q12" t="n">
        <v>3</v>
      </c>
      <c r="R12" t="inlineStr">
        <is>
          <t>No</t>
        </is>
      </c>
      <c r="S12" t="inlineStr">
        <is>
          <t>Needs more practical examples.</t>
        </is>
      </c>
      <c r="T12" t="n">
        <v>3.33</v>
      </c>
      <c r="U12" t="n">
        <v>40</v>
      </c>
      <c r="V12" t="n">
        <v>6</v>
      </c>
      <c r="W12" t="n">
        <v>24</v>
      </c>
      <c r="X12" t="n">
        <v>3</v>
      </c>
      <c r="Y12" t="n">
        <v>14</v>
      </c>
      <c r="Z12" t="inlineStr">
        <is>
          <t>No</t>
        </is>
      </c>
      <c r="AA12">
        <f>IF(T12="","Missing",IF(T12&gt;=4,"High",IF(T12&gt;=3,"Moderate","Low")))</f>
        <v/>
      </c>
      <c r="AB12">
        <f>IF(COUNT(M12:O12)&lt;3,"Insufficient data",IF(MIN(M12:O12)=M12,"Teaching",IF(MIN(M12:O12)=N12,"Knowledge",IF(MIN(M12:O12)=O12,"Interaction",IF(P12&gt;=4,"High difficulty",IF(W12&gt;48,"Slow response","Balanced"))))))</f>
        <v/>
      </c>
      <c r="AC12">
        <f>IF(OR(T12&lt;3,P12&gt;=4,W12&gt;48),"At Risk","Stable")</f>
        <v/>
      </c>
      <c r="AD12">
        <f>IF(COUNT(M12:O12)&lt;3,"",ROUND((M12*0.30+N12*0.25+O12*0.25+(6-P12)*0.10+IF(W12&lt;=24,5,IF(W12&lt;=48,3,1))*0.10),2))</f>
        <v/>
      </c>
      <c r="AE12">
        <f>IF(AD12="","Unknown",IF(AD12&gt;=3.5,"Yes","No"))</f>
        <v/>
      </c>
      <c r="AF12">
        <f>IF(AC12="At Risk",IF(M12&lt;3,"Improve teaching clarity",IF(O12&lt;3,"Increase student interaction",IF(P12&gt;=4,"Reduce perceived difficulty with examples",IF(W12&gt;48,"Improve response time","Review student feedback")))),"Maintain current approach")</f>
        <v/>
      </c>
      <c r="AG12">
        <f>IF(AC12="At Risk","High",IF(T12&lt;4,"Medium","Low"))</f>
        <v/>
      </c>
    </row>
    <row r="13">
      <c r="A13" t="inlineStr">
        <is>
          <t>P002</t>
        </is>
      </c>
      <c r="B13" t="inlineStr">
        <is>
          <t>Dr. Rahul Mehta</t>
        </is>
      </c>
      <c r="C13" t="inlineStr">
        <is>
          <t>Computer Science</t>
        </is>
      </c>
      <c r="D13" t="inlineStr">
        <is>
          <t>B.Tech (Information Technology)</t>
        </is>
      </c>
      <c r="E13" t="inlineStr">
        <is>
          <t>M.Tech (Computer Science)</t>
        </is>
      </c>
      <c r="F13" t="inlineStr">
        <is>
          <t>Ph.D. in Artificial Intelligence</t>
        </is>
      </c>
      <c r="G13" t="inlineStr">
        <is>
          <t>Ph.D.</t>
        </is>
      </c>
      <c r="H13" t="inlineStr">
        <is>
          <t>Artificial Intelligence</t>
        </is>
      </c>
      <c r="I13" t="inlineStr">
        <is>
          <t>Data Structures</t>
        </is>
      </c>
      <c r="J13" t="inlineStr">
        <is>
          <t>Computer Networks</t>
        </is>
      </c>
      <c r="K13" t="inlineStr">
        <is>
          <t>2nd</t>
        </is>
      </c>
      <c r="L13" t="inlineStr">
        <is>
          <t>Law</t>
        </is>
      </c>
      <c r="M13" t="n">
        <v>5</v>
      </c>
      <c r="N13" t="n">
        <v>5</v>
      </c>
      <c r="O13" t="n">
        <v>5</v>
      </c>
      <c r="P13" t="n">
        <v>4</v>
      </c>
      <c r="Q13" t="n">
        <v>1</v>
      </c>
      <c r="R13" t="inlineStr">
        <is>
          <t>Yes</t>
        </is>
      </c>
      <c r="S13" t="inlineStr">
        <is>
          <t>Excellent real-world case studies.</t>
        </is>
      </c>
      <c r="T13" t="n">
        <v>5</v>
      </c>
      <c r="U13" t="n">
        <v>20</v>
      </c>
      <c r="V13" t="n">
        <v>1</v>
      </c>
      <c r="W13" t="n">
        <v>12</v>
      </c>
      <c r="X13" t="n">
        <v>10</v>
      </c>
      <c r="Y13" t="n">
        <v>3</v>
      </c>
      <c r="Z13" t="inlineStr">
        <is>
          <t>No</t>
        </is>
      </c>
      <c r="AA13">
        <f>IF(T13="","Missing",IF(T13&gt;=4,"High",IF(T13&gt;=3,"Moderate","Low")))</f>
        <v/>
      </c>
      <c r="AB13">
        <f>IF(COUNT(M13:O13)&lt;3,"Insufficient data",IF(MIN(M13:O13)=M13,"Teaching",IF(MIN(M13:O13)=N13,"Knowledge",IF(MIN(M13:O13)=O13,"Interaction",IF(P13&gt;=4,"High difficulty",IF(W13&gt;48,"Slow response","Balanced"))))))</f>
        <v/>
      </c>
      <c r="AC13">
        <f>IF(OR(T13&lt;3,P13&gt;=4,W13&gt;48),"At Risk","Stable")</f>
        <v/>
      </c>
      <c r="AD13">
        <f>IF(COUNT(M13:O13)&lt;3,"",ROUND((M13*0.30+N13*0.25+O13*0.25+(6-P13)*0.10+IF(W13&lt;=24,5,IF(W13&lt;=48,3,1))*0.10),2))</f>
        <v/>
      </c>
      <c r="AE13">
        <f>IF(AD13="","Unknown",IF(AD13&gt;=3.5,"Yes","No"))</f>
        <v/>
      </c>
      <c r="AF13">
        <f>IF(AC13="At Risk",IF(M13&lt;3,"Improve teaching clarity",IF(O13&lt;3,"Increase student interaction",IF(P13&gt;=4,"Reduce perceived difficulty with examples",IF(W13&gt;48,"Improve response time","Review student feedback")))),"Maintain current approach")</f>
        <v/>
      </c>
      <c r="AG13">
        <f>IF(AC13="At Risk","High",IF(T13&lt;4,"Medium","Low"))</f>
        <v/>
      </c>
    </row>
    <row r="14">
      <c r="A14" t="inlineStr">
        <is>
          <t>P003</t>
        </is>
      </c>
      <c r="B14" t="inlineStr">
        <is>
          <t>Prof. Neha Kapoor</t>
        </is>
      </c>
      <c r="C14" t="inlineStr">
        <is>
          <t>Business</t>
        </is>
      </c>
      <c r="D14" t="inlineStr">
        <is>
          <t>BBA</t>
        </is>
      </c>
      <c r="E14" t="inlineStr">
        <is>
          <t>MBA (Marketing)</t>
        </is>
      </c>
      <c r="F14" t="inlineStr">
        <is>
          <t>Ph.D. in Marketing Management</t>
        </is>
      </c>
      <c r="G14" t="inlineStr">
        <is>
          <t>Ph.D.</t>
        </is>
      </c>
      <c r="H14" t="inlineStr">
        <is>
          <t>Marketing</t>
        </is>
      </c>
      <c r="J14" t="inlineStr">
        <is>
          <t>Digital Marketing</t>
        </is>
      </c>
      <c r="K14" t="inlineStr">
        <is>
          <t>4th</t>
        </is>
      </c>
      <c r="L14" t="inlineStr">
        <is>
          <t>AI &amp; DS</t>
        </is>
      </c>
      <c r="M14" t="n">
        <v>2</v>
      </c>
      <c r="N14" t="n">
        <v>1</v>
      </c>
      <c r="O14" t="n">
        <v>2</v>
      </c>
      <c r="P14" t="n">
        <v>5</v>
      </c>
      <c r="Q14" t="n">
        <v>1</v>
      </c>
      <c r="R14" t="inlineStr">
        <is>
          <t>No</t>
        </is>
      </c>
      <c r="S14" t="inlineStr">
        <is>
          <t>Helpful after lectures.</t>
        </is>
      </c>
      <c r="T14" t="n">
        <v>1.67</v>
      </c>
      <c r="U14" t="n">
        <v>18</v>
      </c>
      <c r="V14" t="n">
        <v>0</v>
      </c>
      <c r="W14" t="n">
        <v>72</v>
      </c>
      <c r="X14" t="n">
        <v>13</v>
      </c>
      <c r="Y14" t="n">
        <v>12</v>
      </c>
      <c r="Z14" t="inlineStr">
        <is>
          <t>Yes</t>
        </is>
      </c>
      <c r="AA14">
        <f>IF(T14="","Missing",IF(T14&gt;=4,"High",IF(T14&gt;=3,"Moderate","Low")))</f>
        <v/>
      </c>
      <c r="AB14">
        <f>IF(COUNT(M14:O14)&lt;3,"Insufficient data",IF(MIN(M14:O14)=M14,"Teaching",IF(MIN(M14:O14)=N14,"Knowledge",IF(MIN(M14:O14)=O14,"Interaction",IF(P14&gt;=4,"High difficulty",IF(W14&gt;48,"Slow response","Balanced"))))))</f>
        <v/>
      </c>
      <c r="AC14">
        <f>IF(OR(T14&lt;3,P14&gt;=4,W14&gt;48),"At Risk","Stable")</f>
        <v/>
      </c>
      <c r="AD14">
        <f>IF(COUNT(M14:O14)&lt;3,"",ROUND((M14*0.30+N14*0.25+O14*0.25+(6-P14)*0.10+IF(W14&lt;=24,5,IF(W14&lt;=48,3,1))*0.10),2))</f>
        <v/>
      </c>
      <c r="AE14">
        <f>IF(AD14="","Unknown",IF(AD14&gt;=3.5,"Yes","No"))</f>
        <v/>
      </c>
      <c r="AF14">
        <f>IF(AC14="At Risk",IF(M14&lt;3,"Improve teaching clarity",IF(O14&lt;3,"Increase student interaction",IF(P14&gt;=4,"Reduce perceived difficulty with examples",IF(W14&gt;48,"Improve response time","Review student feedback")))),"Maintain current approach")</f>
        <v/>
      </c>
      <c r="AG14">
        <f>IF(AC14="At Risk","High",IF(T14&lt;4,"Medium","Low"))</f>
        <v/>
      </c>
    </row>
    <row r="15">
      <c r="A15" t="inlineStr">
        <is>
          <t>P004</t>
        </is>
      </c>
      <c r="B15" t="inlineStr">
        <is>
          <t>Dr. Arjun Verma</t>
        </is>
      </c>
      <c r="C15" t="inlineStr">
        <is>
          <t>Business</t>
        </is>
      </c>
      <c r="D15" t="inlineStr">
        <is>
          <t>B.Com</t>
        </is>
      </c>
      <c r="E15" t="inlineStr">
        <is>
          <t>MBA (Finance)</t>
        </is>
      </c>
      <c r="F15" t="inlineStr">
        <is>
          <t>Ph.D. in Finance</t>
        </is>
      </c>
      <c r="G15" t="inlineStr">
        <is>
          <t>Ph.D.</t>
        </is>
      </c>
      <c r="H15" t="inlineStr">
        <is>
          <t>Finance</t>
        </is>
      </c>
      <c r="I15" t="inlineStr">
        <is>
          <t>Investment Analysis</t>
        </is>
      </c>
      <c r="J15" t="inlineStr">
        <is>
          <t>Business Statistics</t>
        </is>
      </c>
      <c r="K15" t="inlineStr">
        <is>
          <t>3rd</t>
        </is>
      </c>
      <c r="L15" t="inlineStr">
        <is>
          <t>CSE</t>
        </is>
      </c>
      <c r="M15" t="n">
        <v>4</v>
      </c>
      <c r="N15" t="n">
        <v>4</v>
      </c>
      <c r="O15" t="n">
        <v>4</v>
      </c>
      <c r="P15" t="n">
        <v>1</v>
      </c>
      <c r="Q15" t="n">
        <v>4</v>
      </c>
      <c r="R15" t="inlineStr">
        <is>
          <t>Yes</t>
        </is>
      </c>
      <c r="S15" t="inlineStr">
        <is>
          <t>Highly recommended.</t>
        </is>
      </c>
      <c r="T15" t="n">
        <v>4</v>
      </c>
      <c r="U15" t="n">
        <v>33</v>
      </c>
      <c r="V15" t="n">
        <v>3</v>
      </c>
      <c r="W15" t="n">
        <v>6</v>
      </c>
      <c r="X15" t="n">
        <v>5</v>
      </c>
      <c r="Y15" t="n">
        <v>4</v>
      </c>
      <c r="Z15" t="inlineStr">
        <is>
          <t>Yes</t>
        </is>
      </c>
      <c r="AA15">
        <f>IF(T15="","Missing",IF(T15&gt;=4,"High",IF(T15&gt;=3,"Moderate","Low")))</f>
        <v/>
      </c>
      <c r="AB15">
        <f>IF(COUNT(M15:O15)&lt;3,"Insufficient data",IF(MIN(M15:O15)=M15,"Teaching",IF(MIN(M15:O15)=N15,"Knowledge",IF(MIN(M15:O15)=O15,"Interaction",IF(P15&gt;=4,"High difficulty",IF(W15&gt;48,"Slow response","Balanced"))))))</f>
        <v/>
      </c>
      <c r="AC15">
        <f>IF(OR(T15&lt;3,P15&gt;=4,W15&gt;48),"At Risk","Stable")</f>
        <v/>
      </c>
      <c r="AD15">
        <f>IF(COUNT(M15:O15)&lt;3,"",ROUND((M15*0.30+N15*0.25+O15*0.25+(6-P15)*0.10+IF(W15&lt;=24,5,IF(W15&lt;=48,3,1))*0.10),2))</f>
        <v/>
      </c>
      <c r="AE15">
        <f>IF(AD15="","Unknown",IF(AD15&gt;=3.5,"Yes","No"))</f>
        <v/>
      </c>
      <c r="AF15">
        <f>IF(AC15="At Risk",IF(M15&lt;3,"Improve teaching clarity",IF(O15&lt;3,"Increase student interaction",IF(P15&gt;=4,"Reduce perceived difficulty with examples",IF(W15&gt;48,"Improve response time","Review student feedback")))),"Maintain current approach")</f>
        <v/>
      </c>
      <c r="AG15">
        <f>IF(AC15="At Risk","High",IF(T15&lt;4,"Medium","Low"))</f>
        <v/>
      </c>
    </row>
    <row r="16">
      <c r="A16" t="inlineStr">
        <is>
          <t>P005</t>
        </is>
      </c>
      <c r="B16" t="inlineStr">
        <is>
          <t>Dr. Simran Kaur</t>
        </is>
      </c>
      <c r="C16" t="inlineStr">
        <is>
          <t>Law</t>
        </is>
      </c>
      <c r="D16" t="inlineStr">
        <is>
          <t>B.A. LL.B. (Hons.)</t>
        </is>
      </c>
      <c r="E16" t="inlineStr">
        <is>
          <t>LL.M. (Constitutional Law)</t>
        </is>
      </c>
      <c r="F16" t="inlineStr">
        <is>
          <t>Ph.D. in Constitutional Law</t>
        </is>
      </c>
      <c r="G16" t="inlineStr">
        <is>
          <t>Ph.D.</t>
        </is>
      </c>
      <c r="H16" t="inlineStr">
        <is>
          <t>Constitutional Law</t>
        </is>
      </c>
      <c r="I16" t="inlineStr">
        <is>
          <t>Legal Research</t>
        </is>
      </c>
      <c r="J16" t="inlineStr">
        <is>
          <t>Jurisprudence</t>
        </is>
      </c>
      <c r="K16" t="inlineStr">
        <is>
          <t>3rd</t>
        </is>
      </c>
      <c r="L16" t="inlineStr">
        <is>
          <t>ECE</t>
        </is>
      </c>
      <c r="M16" t="n">
        <v>4</v>
      </c>
      <c r="N16" t="n">
        <v>5</v>
      </c>
      <c r="O16" t="n">
        <v>4</v>
      </c>
      <c r="P16" t="n">
        <v>2</v>
      </c>
      <c r="Q16" t="n">
        <v>5</v>
      </c>
      <c r="R16" t="inlineStr">
        <is>
          <t>Yes</t>
        </is>
      </c>
      <c r="S16" t="inlineStr">
        <is>
          <t>Explains concepts clearly.</t>
        </is>
      </c>
      <c r="T16" t="n">
        <v>4.33</v>
      </c>
      <c r="U16" t="n">
        <v>24</v>
      </c>
      <c r="V16" t="n">
        <v>4</v>
      </c>
      <c r="W16" t="n">
        <v>6</v>
      </c>
      <c r="X16" t="n">
        <v>9</v>
      </c>
      <c r="Y16" t="n">
        <v>0</v>
      </c>
      <c r="Z16" t="inlineStr">
        <is>
          <t>No</t>
        </is>
      </c>
      <c r="AA16">
        <f>IF(T16="","Missing",IF(T16&gt;=4,"High",IF(T16&gt;=3,"Moderate","Low")))</f>
        <v/>
      </c>
      <c r="AB16">
        <f>IF(COUNT(M16:O16)&lt;3,"Insufficient data",IF(MIN(M16:O16)=M16,"Teaching",IF(MIN(M16:O16)=N16,"Knowledge",IF(MIN(M16:O16)=O16,"Interaction",IF(P16&gt;=4,"High difficulty",IF(W16&gt;48,"Slow response","Balanced"))))))</f>
        <v/>
      </c>
      <c r="AC16">
        <f>IF(OR(T16&lt;3,P16&gt;=4,W16&gt;48),"At Risk","Stable")</f>
        <v/>
      </c>
      <c r="AD16">
        <f>IF(COUNT(M16:O16)&lt;3,"",ROUND((M16*0.30+N16*0.25+O16*0.25+(6-P16)*0.10+IF(W16&lt;=24,5,IF(W16&lt;=48,3,1))*0.10),2))</f>
        <v/>
      </c>
      <c r="AE16">
        <f>IF(AD16="","Unknown",IF(AD16&gt;=3.5,"Yes","No"))</f>
        <v/>
      </c>
      <c r="AF16">
        <f>IF(AC16="At Risk",IF(M16&lt;3,"Improve teaching clarity",IF(O16&lt;3,"Increase student interaction",IF(P16&gt;=4,"Reduce perceived difficulty with examples",IF(W16&gt;48,"Improve response time","Review student feedback")))),"Maintain current approach")</f>
        <v/>
      </c>
      <c r="AG16">
        <f>IF(AC16="At Risk","High",IF(T16&lt;4,"Medium","Low"))</f>
        <v/>
      </c>
    </row>
    <row r="17">
      <c r="A17" t="inlineStr">
        <is>
          <t>P006</t>
        </is>
      </c>
      <c r="B17" t="inlineStr">
        <is>
          <t>Prof. Vivek Saini</t>
        </is>
      </c>
      <c r="C17" t="inlineStr">
        <is>
          <t>Law</t>
        </is>
      </c>
      <c r="D17" t="inlineStr">
        <is>
          <t>B.A. LL.B.</t>
        </is>
      </c>
      <c r="E17" t="inlineStr">
        <is>
          <t>LL.M. (Corporate Law)</t>
        </is>
      </c>
      <c r="G17" t="inlineStr">
        <is>
          <t>LL.M.</t>
        </is>
      </c>
      <c r="H17" t="inlineStr">
        <is>
          <t>Corporate Law</t>
        </is>
      </c>
      <c r="I17" t="inlineStr">
        <is>
          <t>Cyber Law</t>
        </is>
      </c>
      <c r="J17" t="inlineStr">
        <is>
          <t>IPR</t>
        </is>
      </c>
      <c r="K17" t="inlineStr">
        <is>
          <t>4th</t>
        </is>
      </c>
      <c r="L17" t="inlineStr">
        <is>
          <t>Business</t>
        </is>
      </c>
      <c r="M17" t="n">
        <v>2</v>
      </c>
      <c r="N17" t="n">
        <v>3</v>
      </c>
      <c r="O17" t="n">
        <v>4</v>
      </c>
      <c r="P17" t="n">
        <v>2</v>
      </c>
      <c r="Q17" t="n">
        <v>3</v>
      </c>
      <c r="R17" t="inlineStr">
        <is>
          <t>Yes</t>
        </is>
      </c>
      <c r="S17" t="inlineStr">
        <is>
          <t>Too fast sometimes.</t>
        </is>
      </c>
      <c r="T17" t="n">
        <v>3</v>
      </c>
      <c r="U17" t="n">
        <v>35</v>
      </c>
      <c r="V17" t="n">
        <v>6</v>
      </c>
      <c r="W17" t="n">
        <v>300</v>
      </c>
      <c r="X17" t="n">
        <v>21</v>
      </c>
      <c r="Y17" t="n">
        <v>7</v>
      </c>
      <c r="Z17" t="inlineStr">
        <is>
          <t>Yes</t>
        </is>
      </c>
      <c r="AA17">
        <f>IF(T17="","Missing",IF(T17&gt;=4,"High",IF(T17&gt;=3,"Moderate","Low")))</f>
        <v/>
      </c>
      <c r="AB17">
        <f>IF(COUNT(M17:O17)&lt;3,"Insufficient data",IF(MIN(M17:O17)=M17,"Teaching",IF(MIN(M17:O17)=N17,"Knowledge",IF(MIN(M17:O17)=O17,"Interaction",IF(P17&gt;=4,"High difficulty",IF(W17&gt;48,"Slow response","Balanced"))))))</f>
        <v/>
      </c>
      <c r="AC17">
        <f>IF(OR(T17&lt;3,P17&gt;=4,W17&gt;48),"At Risk","Stable")</f>
        <v/>
      </c>
      <c r="AD17">
        <f>IF(COUNT(M17:O17)&lt;3,"",ROUND((M17*0.30+N17*0.25+O17*0.25+(6-P17)*0.10+IF(W17&lt;=24,5,IF(W17&lt;=48,3,1))*0.10),2))</f>
        <v/>
      </c>
      <c r="AE17">
        <f>IF(AD17="","Unknown",IF(AD17&gt;=3.5,"Yes","No"))</f>
        <v/>
      </c>
      <c r="AF17">
        <f>IF(AC17="At Risk",IF(M17&lt;3,"Improve teaching clarity",IF(O17&lt;3,"Increase student interaction",IF(P17&gt;=4,"Reduce perceived difficulty with examples",IF(W17&gt;48,"Improve response time","Review student feedback")))),"Maintain current approach")</f>
        <v/>
      </c>
      <c r="AG17">
        <f>IF(AC17="At Risk","High",IF(T17&lt;4,"Medium","Low"))</f>
        <v/>
      </c>
    </row>
    <row r="18">
      <c r="A18" t="inlineStr">
        <is>
          <t>P007</t>
        </is>
      </c>
      <c r="B18" t="inlineStr">
        <is>
          <t>Dr. Ritu Joshi</t>
        </is>
      </c>
      <c r="C18" t="inlineStr">
        <is>
          <t>Liberal Studies</t>
        </is>
      </c>
      <c r="D18" t="inlineStr">
        <is>
          <t>B.A. (Psychology)</t>
        </is>
      </c>
      <c r="E18" t="inlineStr">
        <is>
          <t>M.A. (Psychology)</t>
        </is>
      </c>
      <c r="F18" t="inlineStr">
        <is>
          <t>Ph.D. in Psychology</t>
        </is>
      </c>
      <c r="G18" t="inlineStr">
        <is>
          <t>Ph.D.</t>
        </is>
      </c>
      <c r="H18" t="inlineStr">
        <is>
          <t>Psychology</t>
        </is>
      </c>
      <c r="I18" t="inlineStr">
        <is>
          <t>Research Methodology</t>
        </is>
      </c>
      <c r="J18" t="inlineStr">
        <is>
          <t>Personality Development</t>
        </is>
      </c>
      <c r="K18" t="inlineStr">
        <is>
          <t>2nd</t>
        </is>
      </c>
      <c r="L18" t="inlineStr">
        <is>
          <t>Liberal Studies</t>
        </is>
      </c>
      <c r="M18" t="n">
        <v>3</v>
      </c>
      <c r="N18" t="n">
        <v>3</v>
      </c>
      <c r="O18" t="n">
        <v>3</v>
      </c>
      <c r="P18" t="n">
        <v>4</v>
      </c>
      <c r="Q18" t="n">
        <v>3</v>
      </c>
      <c r="R18" t="inlineStr">
        <is>
          <t>Yes</t>
        </is>
      </c>
      <c r="S18" t="inlineStr">
        <is>
          <t>Explains concepts clearly.</t>
        </is>
      </c>
      <c r="T18" t="n">
        <v>3</v>
      </c>
      <c r="U18" t="n">
        <v>26</v>
      </c>
      <c r="V18" t="n">
        <v>3</v>
      </c>
      <c r="W18" t="n">
        <v>6</v>
      </c>
      <c r="X18" t="n">
        <v>12</v>
      </c>
      <c r="Y18" t="n">
        <v>11</v>
      </c>
      <c r="Z18" t="inlineStr">
        <is>
          <t>No</t>
        </is>
      </c>
      <c r="AA18">
        <f>IF(T18="","Missing",IF(T18&gt;=4,"High",IF(T18&gt;=3,"Moderate","Low")))</f>
        <v/>
      </c>
      <c r="AB18">
        <f>IF(COUNT(M18:O18)&lt;3,"Insufficient data",IF(MIN(M18:O18)=M18,"Teaching",IF(MIN(M18:O18)=N18,"Knowledge",IF(MIN(M18:O18)=O18,"Interaction",IF(P18&gt;=4,"High difficulty",IF(W18&gt;48,"Slow response","Balanced"))))))</f>
        <v/>
      </c>
      <c r="AC18">
        <f>IF(OR(T18&lt;3,P18&gt;=4,W18&gt;48),"At Risk","Stable")</f>
        <v/>
      </c>
      <c r="AD18">
        <f>IF(COUNT(M18:O18)&lt;3,"",ROUND((M18*0.30+N18*0.25+O18*0.25+(6-P18)*0.10+IF(W18&lt;=24,5,IF(W18&lt;=48,3,1))*0.10),2))</f>
        <v/>
      </c>
      <c r="AE18">
        <f>IF(AD18="","Unknown",IF(AD18&gt;=3.5,"Yes","No"))</f>
        <v/>
      </c>
      <c r="AF18">
        <f>IF(AC18="At Risk",IF(M18&lt;3,"Improve teaching clarity",IF(O18&lt;3,"Increase student interaction",IF(P18&gt;=4,"Reduce perceived difficulty with examples",IF(W18&gt;48,"Improve response time","Review student feedback")))),"Maintain current approach")</f>
        <v/>
      </c>
      <c r="AG18">
        <f>IF(AC18="At Risk","High",IF(T18&lt;4,"Medium","Low"))</f>
        <v/>
      </c>
    </row>
    <row r="19">
      <c r="A19" t="inlineStr">
        <is>
          <t>P008</t>
        </is>
      </c>
      <c r="B19" t="inlineStr">
        <is>
          <t>Prof. Karan Bhatia</t>
        </is>
      </c>
      <c r="C19" t="inlineStr">
        <is>
          <t>Liberal Studies</t>
        </is>
      </c>
      <c r="D19" t="inlineStr">
        <is>
          <t>B.A. (Sociology)</t>
        </is>
      </c>
      <c r="E19" t="inlineStr">
        <is>
          <t>M.A. (Sociology)</t>
        </is>
      </c>
      <c r="G19" t="inlineStr">
        <is>
          <t>M.A.</t>
        </is>
      </c>
      <c r="H19" t="inlineStr">
        <is>
          <t>Sociology</t>
        </is>
      </c>
      <c r="I19" t="inlineStr">
        <is>
          <t>Critical Thinking</t>
        </is>
      </c>
      <c r="J19" t="inlineStr">
        <is>
          <t>Communication Skills</t>
        </is>
      </c>
      <c r="K19" t="inlineStr">
        <is>
          <t>2nd</t>
        </is>
      </c>
      <c r="L19" t="inlineStr">
        <is>
          <t>CSE</t>
        </is>
      </c>
      <c r="M19" t="n">
        <v>4</v>
      </c>
      <c r="N19" t="n">
        <v>4</v>
      </c>
      <c r="O19" t="n">
        <v>2</v>
      </c>
      <c r="P19" t="n">
        <v>2</v>
      </c>
      <c r="Q19" t="n">
        <v>4</v>
      </c>
      <c r="R19" t="inlineStr">
        <is>
          <t>Yes</t>
        </is>
      </c>
      <c r="S19" t="inlineStr">
        <is>
          <t>Interactive sessions.</t>
        </is>
      </c>
      <c r="T19" t="n">
        <v>3.33</v>
      </c>
      <c r="U19" t="n">
        <v>24</v>
      </c>
      <c r="V19" t="n">
        <v>3</v>
      </c>
      <c r="W19" t="n">
        <v>24</v>
      </c>
      <c r="X19" t="n">
        <v>0</v>
      </c>
      <c r="Y19" t="n">
        <v>15</v>
      </c>
      <c r="Z19" t="inlineStr">
        <is>
          <t>No</t>
        </is>
      </c>
      <c r="AA19">
        <f>IF(T19="","Missing",IF(T19&gt;=4,"High",IF(T19&gt;=3,"Moderate","Low")))</f>
        <v/>
      </c>
      <c r="AB19">
        <f>IF(COUNT(M19:O19)&lt;3,"Insufficient data",IF(MIN(M19:O19)=M19,"Teaching",IF(MIN(M19:O19)=N19,"Knowledge",IF(MIN(M19:O19)=O19,"Interaction",IF(P19&gt;=4,"High difficulty",IF(W19&gt;48,"Slow response","Balanced"))))))</f>
        <v/>
      </c>
      <c r="AC19">
        <f>IF(OR(T19&lt;3,P19&gt;=4,W19&gt;48),"At Risk","Stable")</f>
        <v/>
      </c>
      <c r="AD19">
        <f>IF(COUNT(M19:O19)&lt;3,"",ROUND((M19*0.30+N19*0.25+O19*0.25+(6-P19)*0.10+IF(W19&lt;=24,5,IF(W19&lt;=48,3,1))*0.10),2))</f>
        <v/>
      </c>
      <c r="AE19">
        <f>IF(AD19="","Unknown",IF(AD19&gt;=3.5,"Yes","No"))</f>
        <v/>
      </c>
      <c r="AF19">
        <f>IF(AC19="At Risk",IF(M19&lt;3,"Improve teaching clarity",IF(O19&lt;3,"Increase student interaction",IF(P19&gt;=4,"Reduce perceived difficulty with examples",IF(W19&gt;48,"Improve response time","Review student feedback")))),"Maintain current approach")</f>
        <v/>
      </c>
      <c r="AG19">
        <f>IF(AC19="At Risk","High",IF(T19&lt;4,"Medium","Low"))</f>
        <v/>
      </c>
    </row>
    <row r="20">
      <c r="A20" t="inlineStr">
        <is>
          <t>P009</t>
        </is>
      </c>
      <c r="B20" t="inlineStr">
        <is>
          <t>Dr. Priya Nanda</t>
        </is>
      </c>
      <c r="C20" t="inlineStr">
        <is>
          <t>Computer Science</t>
        </is>
      </c>
      <c r="D20" t="inlineStr">
        <is>
          <t>B.Tech (Computer Science)</t>
        </is>
      </c>
      <c r="E20" t="inlineStr">
        <is>
          <t>M.Tech (Machine Learning)</t>
        </is>
      </c>
      <c r="F20" t="inlineStr">
        <is>
          <t>Ph.D. in Computer Science</t>
        </is>
      </c>
      <c r="G20" t="inlineStr">
        <is>
          <t>Ph.D.</t>
        </is>
      </c>
      <c r="H20" t="inlineStr">
        <is>
          <t>Machine Learning</t>
        </is>
      </c>
      <c r="I20" t="inlineStr">
        <is>
          <t>Artificial Intelligence</t>
        </is>
      </c>
      <c r="J20" t="inlineStr">
        <is>
          <t>Data Mining</t>
        </is>
      </c>
      <c r="K20" t="inlineStr">
        <is>
          <t>3rd</t>
        </is>
      </c>
      <c r="L20" t="inlineStr">
        <is>
          <t>ECE</t>
        </is>
      </c>
      <c r="M20" t="n">
        <v>2</v>
      </c>
      <c r="N20" t="n">
        <v>3</v>
      </c>
      <c r="O20" t="n">
        <v>2</v>
      </c>
      <c r="P20" t="n">
        <v>2</v>
      </c>
      <c r="Q20" t="n">
        <v>4</v>
      </c>
      <c r="R20" t="inlineStr">
        <is>
          <t>Yes</t>
        </is>
      </c>
      <c r="S20" t="inlineStr">
        <is>
          <t>Average teaching style.</t>
        </is>
      </c>
      <c r="T20" t="n">
        <v>2.33</v>
      </c>
      <c r="U20" t="n">
        <v>38</v>
      </c>
      <c r="V20" t="n">
        <v>2</v>
      </c>
      <c r="W20" t="n">
        <v>2</v>
      </c>
      <c r="X20" t="n">
        <v>25</v>
      </c>
      <c r="Y20" t="n">
        <v>14</v>
      </c>
      <c r="Z20" t="inlineStr">
        <is>
          <t>No</t>
        </is>
      </c>
      <c r="AA20">
        <f>IF(T20="","Missing",IF(T20&gt;=4,"High",IF(T20&gt;=3,"Moderate","Low")))</f>
        <v/>
      </c>
      <c r="AB20">
        <f>IF(COUNT(M20:O20)&lt;3,"Insufficient data",IF(MIN(M20:O20)=M20,"Teaching",IF(MIN(M20:O20)=N20,"Knowledge",IF(MIN(M20:O20)=O20,"Interaction",IF(P20&gt;=4,"High difficulty",IF(W20&gt;48,"Slow response","Balanced"))))))</f>
        <v/>
      </c>
      <c r="AC20">
        <f>IF(OR(T20&lt;3,P20&gt;=4,W20&gt;48),"At Risk","Stable")</f>
        <v/>
      </c>
      <c r="AD20">
        <f>IF(COUNT(M20:O20)&lt;3,"",ROUND((M20*0.30+N20*0.25+O20*0.25+(6-P20)*0.10+IF(W20&lt;=24,5,IF(W20&lt;=48,3,1))*0.10),2))</f>
        <v/>
      </c>
      <c r="AE20">
        <f>IF(AD20="","Unknown",IF(AD20&gt;=3.5,"Yes","No"))</f>
        <v/>
      </c>
      <c r="AF20">
        <f>IF(AC20="At Risk",IF(M20&lt;3,"Improve teaching clarity",IF(O20&lt;3,"Increase student interaction",IF(P20&gt;=4,"Reduce perceived difficulty with examples",IF(W20&gt;48,"Improve response time","Review student feedback")))),"Maintain current approach")</f>
        <v/>
      </c>
      <c r="AG20">
        <f>IF(AC20="At Risk","High",IF(T20&lt;4,"Medium","Low"))</f>
        <v/>
      </c>
    </row>
    <row r="21">
      <c r="A21" t="inlineStr">
        <is>
          <t>P010</t>
        </is>
      </c>
      <c r="B21" t="inlineStr">
        <is>
          <t>Dr. Mohit Arora</t>
        </is>
      </c>
      <c r="C21" t="inlineStr">
        <is>
          <t>Business</t>
        </is>
      </c>
      <c r="D21" t="inlineStr">
        <is>
          <t>BBA</t>
        </is>
      </c>
      <c r="E21" t="inlineStr">
        <is>
          <t>MBA (Business Analytics)</t>
        </is>
      </c>
      <c r="G21" t="inlineStr">
        <is>
          <t>MBA</t>
        </is>
      </c>
      <c r="H21" t="inlineStr">
        <is>
          <t>Business Analytics</t>
        </is>
      </c>
      <c r="I21" t="inlineStr">
        <is>
          <t>Operations Management</t>
        </is>
      </c>
      <c r="J21" t="inlineStr">
        <is>
          <t>Excel for Business</t>
        </is>
      </c>
      <c r="K21" t="inlineStr">
        <is>
          <t>2nd</t>
        </is>
      </c>
      <c r="L21" t="inlineStr">
        <is>
          <t>AI &amp; DS</t>
        </is>
      </c>
      <c r="M21" t="n">
        <v>2</v>
      </c>
      <c r="N21" t="n">
        <v>3</v>
      </c>
      <c r="O21" t="n">
        <v>3</v>
      </c>
      <c r="P21" t="n">
        <v>1</v>
      </c>
      <c r="Q21" t="n">
        <v>2</v>
      </c>
      <c r="R21" t="inlineStr">
        <is>
          <t>No</t>
        </is>
      </c>
      <c r="S21" t="inlineStr">
        <is>
          <t>Needs more practical examples.</t>
        </is>
      </c>
      <c r="T21" t="n">
        <v>2.67</v>
      </c>
      <c r="U21" t="n">
        <v>37</v>
      </c>
      <c r="V21" t="n">
        <v>6</v>
      </c>
      <c r="W21" t="n">
        <v>24</v>
      </c>
      <c r="X21" t="n">
        <v>30</v>
      </c>
      <c r="Y21" t="n">
        <v>11</v>
      </c>
      <c r="Z21" t="inlineStr">
        <is>
          <t>Yes</t>
        </is>
      </c>
      <c r="AA21">
        <f>IF(T21="","Missing",IF(T21&gt;=4,"High",IF(T21&gt;=3,"Moderate","Low")))</f>
        <v/>
      </c>
      <c r="AB21">
        <f>IF(COUNT(M21:O21)&lt;3,"Insufficient data",IF(MIN(M21:O21)=M21,"Teaching",IF(MIN(M21:O21)=N21,"Knowledge",IF(MIN(M21:O21)=O21,"Interaction",IF(P21&gt;=4,"High difficulty",IF(W21&gt;48,"Slow response","Balanced"))))))</f>
        <v/>
      </c>
      <c r="AC21">
        <f>IF(OR(T21&lt;3,P21&gt;=4,W21&gt;48),"At Risk","Stable")</f>
        <v/>
      </c>
      <c r="AD21">
        <f>IF(COUNT(M21:O21)&lt;3,"",ROUND((M21*0.30+N21*0.25+O21*0.25+(6-P21)*0.10+IF(W21&lt;=24,5,IF(W21&lt;=48,3,1))*0.10),2))</f>
        <v/>
      </c>
      <c r="AE21">
        <f>IF(AD21="","Unknown",IF(AD21&gt;=3.5,"Yes","No"))</f>
        <v/>
      </c>
      <c r="AF21">
        <f>IF(AC21="At Risk",IF(M21&lt;3,"Improve teaching clarity",IF(O21&lt;3,"Increase student interaction",IF(P21&gt;=4,"Reduce perceived difficulty with examples",IF(W21&gt;48,"Improve response time","Review student feedback")))),"Maintain current approach")</f>
        <v/>
      </c>
      <c r="AG21">
        <f>IF(AC21="At Risk","High",IF(T21&lt;4,"Medium","Low"))</f>
        <v/>
      </c>
    </row>
    <row r="22">
      <c r="A22" t="inlineStr">
        <is>
          <t>P001</t>
        </is>
      </c>
      <c r="B22" t="inlineStr">
        <is>
          <t>Dr. Aditi Sharma</t>
        </is>
      </c>
      <c r="C22" t="inlineStr">
        <is>
          <t>Computer Science</t>
        </is>
      </c>
      <c r="D22" t="inlineStr">
        <is>
          <t>B.Tech (Computer Science)</t>
        </is>
      </c>
      <c r="E22" t="inlineStr">
        <is>
          <t>M.Tech (Computer Science &amp; Engineering)</t>
        </is>
      </c>
      <c r="F22" t="inlineStr">
        <is>
          <t>Ph.D. in Data Science</t>
        </is>
      </c>
      <c r="G22" t="inlineStr">
        <is>
          <t>Ph.D.</t>
        </is>
      </c>
      <c r="H22" t="inlineStr">
        <is>
          <t>Data Science</t>
        </is>
      </c>
      <c r="I22" t="inlineStr">
        <is>
          <t>Python Programming</t>
        </is>
      </c>
      <c r="J22" t="inlineStr">
        <is>
          <t>Data Visualization</t>
        </is>
      </c>
      <c r="K22" t="inlineStr">
        <is>
          <t>4th</t>
        </is>
      </c>
      <c r="L22" t="inlineStr">
        <is>
          <t>ECE</t>
        </is>
      </c>
      <c r="M22" t="n">
        <v>3</v>
      </c>
      <c r="N22" t="n">
        <v>2</v>
      </c>
      <c r="O22" t="n">
        <v>2</v>
      </c>
      <c r="P22" t="n">
        <v>1</v>
      </c>
      <c r="Q22" t="n">
        <v>5</v>
      </c>
      <c r="R22" t="inlineStr">
        <is>
          <t>Yes</t>
        </is>
      </c>
      <c r="S22" t="inlineStr">
        <is>
          <t>Average teaching style.</t>
        </is>
      </c>
      <c r="T22" t="n">
        <v>2.33</v>
      </c>
      <c r="U22" t="n">
        <v>24</v>
      </c>
      <c r="V22" t="n">
        <v>6</v>
      </c>
      <c r="W22" t="n">
        <v>72</v>
      </c>
      <c r="X22" t="n">
        <v>13</v>
      </c>
      <c r="Y22" t="n">
        <v>0</v>
      </c>
      <c r="Z22" t="inlineStr">
        <is>
          <t>No</t>
        </is>
      </c>
      <c r="AA22">
        <f>IF(T22="","Missing",IF(T22&gt;=4,"High",IF(T22&gt;=3,"Moderate","Low")))</f>
        <v/>
      </c>
      <c r="AB22">
        <f>IF(COUNT(M22:O22)&lt;3,"Insufficient data",IF(MIN(M22:O22)=M22,"Teaching",IF(MIN(M22:O22)=N22,"Knowledge",IF(MIN(M22:O22)=O22,"Interaction",IF(P22&gt;=4,"High difficulty",IF(W22&gt;48,"Slow response","Balanced"))))))</f>
        <v/>
      </c>
      <c r="AC22">
        <f>IF(OR(T22&lt;3,P22&gt;=4,W22&gt;48),"At Risk","Stable")</f>
        <v/>
      </c>
      <c r="AD22">
        <f>IF(COUNT(M22:O22)&lt;3,"",ROUND((M22*0.30+N22*0.25+O22*0.25+(6-P22)*0.10+IF(W22&lt;=24,5,IF(W22&lt;=48,3,1))*0.10),2))</f>
        <v/>
      </c>
      <c r="AE22">
        <f>IF(AD22="","Unknown",IF(AD22&gt;=3.5,"Yes","No"))</f>
        <v/>
      </c>
      <c r="AF22">
        <f>IF(AC22="At Risk",IF(M22&lt;3,"Improve teaching clarity",IF(O22&lt;3,"Increase student interaction",IF(P22&gt;=4,"Reduce perceived difficulty with examples",IF(W22&gt;48,"Improve response time","Review student feedback")))),"Maintain current approach")</f>
        <v/>
      </c>
      <c r="AG22">
        <f>IF(AC22="At Risk","High",IF(T22&lt;4,"Medium","Low"))</f>
        <v/>
      </c>
    </row>
    <row r="23">
      <c r="A23" t="inlineStr">
        <is>
          <t>P002</t>
        </is>
      </c>
      <c r="B23" t="inlineStr">
        <is>
          <t>Dr. Rahul Mehta</t>
        </is>
      </c>
      <c r="C23" t="inlineStr">
        <is>
          <t>Computer Science</t>
        </is>
      </c>
      <c r="D23" t="inlineStr">
        <is>
          <t>B.Tech (Information Technology)</t>
        </is>
      </c>
      <c r="E23" t="inlineStr">
        <is>
          <t>M.Tech (Computer Science)</t>
        </is>
      </c>
      <c r="F23" t="inlineStr">
        <is>
          <t>Ph.D. in Artificial Intelligence</t>
        </is>
      </c>
      <c r="G23" t="inlineStr">
        <is>
          <t>Ph.D.</t>
        </is>
      </c>
      <c r="H23" t="inlineStr">
        <is>
          <t>Artificial Intelligence</t>
        </is>
      </c>
      <c r="I23" t="inlineStr">
        <is>
          <t>Data Structures</t>
        </is>
      </c>
      <c r="J23" t="inlineStr">
        <is>
          <t>Computer Networks</t>
        </is>
      </c>
      <c r="K23" t="inlineStr">
        <is>
          <t>4th</t>
        </is>
      </c>
      <c r="L23" t="inlineStr">
        <is>
          <t>Business</t>
        </is>
      </c>
      <c r="M23" t="n">
        <v>3</v>
      </c>
      <c r="N23" t="n">
        <v>3</v>
      </c>
      <c r="O23" t="n">
        <v>3</v>
      </c>
      <c r="P23" t="n">
        <v>3</v>
      </c>
      <c r="Q23" t="n">
        <v>5</v>
      </c>
      <c r="R23" t="inlineStr">
        <is>
          <t>No</t>
        </is>
      </c>
      <c r="S23" t="inlineStr">
        <is>
          <t>Needs more practical examples.</t>
        </is>
      </c>
      <c r="T23" t="n">
        <v>3</v>
      </c>
      <c r="U23" t="n">
        <v>19</v>
      </c>
      <c r="V23" t="n">
        <v>5</v>
      </c>
      <c r="W23" t="n">
        <v>6</v>
      </c>
      <c r="X23" t="n">
        <v>29</v>
      </c>
      <c r="Y23" t="n">
        <v>13</v>
      </c>
      <c r="Z23" t="inlineStr">
        <is>
          <t>Yes</t>
        </is>
      </c>
      <c r="AA23">
        <f>IF(T23="","Missing",IF(T23&gt;=4,"High",IF(T23&gt;=3,"Moderate","Low")))</f>
        <v/>
      </c>
      <c r="AB23">
        <f>IF(COUNT(M23:O23)&lt;3,"Insufficient data",IF(MIN(M23:O23)=M23,"Teaching",IF(MIN(M23:O23)=N23,"Knowledge",IF(MIN(M23:O23)=O23,"Interaction",IF(P23&gt;=4,"High difficulty",IF(W23&gt;48,"Slow response","Balanced"))))))</f>
        <v/>
      </c>
      <c r="AC23">
        <f>IF(OR(T23&lt;3,P23&gt;=4,W23&gt;48),"At Risk","Stable")</f>
        <v/>
      </c>
      <c r="AD23">
        <f>IF(COUNT(M23:O23)&lt;3,"",ROUND((M23*0.30+N23*0.25+O23*0.25+(6-P23)*0.10+IF(W23&lt;=24,5,IF(W23&lt;=48,3,1))*0.10),2))</f>
        <v/>
      </c>
      <c r="AE23">
        <f>IF(AD23="","Unknown",IF(AD23&gt;=3.5,"Yes","No"))</f>
        <v/>
      </c>
      <c r="AF23">
        <f>IF(AC23="At Risk",IF(M23&lt;3,"Improve teaching clarity",IF(O23&lt;3,"Increase student interaction",IF(P23&gt;=4,"Reduce perceived difficulty with examples",IF(W23&gt;48,"Improve response time","Review student feedback")))),"Maintain current approach")</f>
        <v/>
      </c>
      <c r="AG23">
        <f>IF(AC23="At Risk","High",IF(T23&lt;4,"Medium","Low"))</f>
        <v/>
      </c>
    </row>
    <row r="24">
      <c r="A24" t="inlineStr">
        <is>
          <t>P003</t>
        </is>
      </c>
      <c r="B24" t="inlineStr">
        <is>
          <t>Prof. Neha Kapoor</t>
        </is>
      </c>
      <c r="C24" t="inlineStr">
        <is>
          <t>Business</t>
        </is>
      </c>
      <c r="D24" t="inlineStr">
        <is>
          <t>BBA</t>
        </is>
      </c>
      <c r="E24" t="inlineStr">
        <is>
          <t>MBA (Marketing)</t>
        </is>
      </c>
      <c r="F24" t="inlineStr">
        <is>
          <t>Ph.D. in Marketing Management</t>
        </is>
      </c>
      <c r="G24" t="inlineStr">
        <is>
          <t>Ph.D.</t>
        </is>
      </c>
      <c r="H24" t="inlineStr">
        <is>
          <t>Marketing</t>
        </is>
      </c>
      <c r="I24" t="inlineStr">
        <is>
          <t>Consumer Behaviour</t>
        </is>
      </c>
      <c r="J24" t="inlineStr">
        <is>
          <t>Digital Marketing</t>
        </is>
      </c>
      <c r="K24" t="inlineStr">
        <is>
          <t>3rd</t>
        </is>
      </c>
      <c r="L24" t="inlineStr">
        <is>
          <t>AI &amp; DS</t>
        </is>
      </c>
      <c r="M24" t="n">
        <v>3</v>
      </c>
      <c r="N24" t="n">
        <v>4</v>
      </c>
      <c r="O24" t="n">
        <v>2</v>
      </c>
      <c r="P24" t="n">
        <v>5</v>
      </c>
      <c r="Q24" t="n">
        <v>1</v>
      </c>
      <c r="R24" t="inlineStr">
        <is>
          <t>Yes</t>
        </is>
      </c>
      <c r="S24" t="inlineStr">
        <is>
          <t>Needs more practical examples.</t>
        </is>
      </c>
      <c r="T24" t="n">
        <v>3</v>
      </c>
      <c r="U24" t="n">
        <v>22</v>
      </c>
      <c r="V24" t="n">
        <v>3</v>
      </c>
      <c r="W24" t="n">
        <v>24</v>
      </c>
      <c r="X24" t="n">
        <v>7</v>
      </c>
      <c r="Y24" t="n">
        <v>1</v>
      </c>
      <c r="Z24" t="inlineStr">
        <is>
          <t>No</t>
        </is>
      </c>
      <c r="AA24">
        <f>IF(T24="","Missing",IF(T24&gt;=4,"High",IF(T24&gt;=3,"Moderate","Low")))</f>
        <v/>
      </c>
      <c r="AB24">
        <f>IF(COUNT(M24:O24)&lt;3,"Insufficient data",IF(MIN(M24:O24)=M24,"Teaching",IF(MIN(M24:O24)=N24,"Knowledge",IF(MIN(M24:O24)=O24,"Interaction",IF(P24&gt;=4,"High difficulty",IF(W24&gt;48,"Slow response","Balanced"))))))</f>
        <v/>
      </c>
      <c r="AC24">
        <f>IF(OR(T24&lt;3,P24&gt;=4,W24&gt;48),"At Risk","Stable")</f>
        <v/>
      </c>
      <c r="AD24">
        <f>IF(COUNT(M24:O24)&lt;3,"",ROUND((M24*0.30+N24*0.25+O24*0.25+(6-P24)*0.10+IF(W24&lt;=24,5,IF(W24&lt;=48,3,1))*0.10),2))</f>
        <v/>
      </c>
      <c r="AE24">
        <f>IF(AD24="","Unknown",IF(AD24&gt;=3.5,"Yes","No"))</f>
        <v/>
      </c>
      <c r="AF24">
        <f>IF(AC24="At Risk",IF(M24&lt;3,"Improve teaching clarity",IF(O24&lt;3,"Increase student interaction",IF(P24&gt;=4,"Reduce perceived difficulty with examples",IF(W24&gt;48,"Improve response time","Review student feedback")))),"Maintain current approach")</f>
        <v/>
      </c>
      <c r="AG24">
        <f>IF(AC24="At Risk","High",IF(T24&lt;4,"Medium","Low"))</f>
        <v/>
      </c>
    </row>
    <row r="25">
      <c r="A25" t="inlineStr">
        <is>
          <t>P004</t>
        </is>
      </c>
      <c r="B25" t="inlineStr">
        <is>
          <t>Dr. Arjun Verma</t>
        </is>
      </c>
      <c r="C25" t="inlineStr">
        <is>
          <t>Business</t>
        </is>
      </c>
      <c r="D25" t="inlineStr">
        <is>
          <t>B.Com</t>
        </is>
      </c>
      <c r="E25" t="inlineStr">
        <is>
          <t>MBA (Finance)</t>
        </is>
      </c>
      <c r="F25" t="inlineStr">
        <is>
          <t>Ph.D. in Finance</t>
        </is>
      </c>
      <c r="G25" t="inlineStr">
        <is>
          <t>Ph.D.</t>
        </is>
      </c>
      <c r="H25" t="inlineStr">
        <is>
          <t>Finance</t>
        </is>
      </c>
      <c r="I25" t="inlineStr">
        <is>
          <t>Investment Analysis</t>
        </is>
      </c>
      <c r="J25" t="inlineStr">
        <is>
          <t>Business Statistics</t>
        </is>
      </c>
      <c r="K25" t="inlineStr">
        <is>
          <t>2nd</t>
        </is>
      </c>
      <c r="L25" t="inlineStr">
        <is>
          <t>AI &amp; DS</t>
        </is>
      </c>
      <c r="M25" t="n">
        <v>5</v>
      </c>
      <c r="N25" t="n">
        <v>4</v>
      </c>
      <c r="O25" t="n">
        <v>2</v>
      </c>
      <c r="P25" t="n">
        <v>3</v>
      </c>
      <c r="Q25" t="n">
        <v>1</v>
      </c>
      <c r="R25" t="inlineStr">
        <is>
          <t>Yes</t>
        </is>
      </c>
      <c r="S25" t="inlineStr">
        <is>
          <t>Very supportive during class.</t>
        </is>
      </c>
      <c r="T25" t="n">
        <v>3.67</v>
      </c>
      <c r="U25" t="n">
        <v>34</v>
      </c>
      <c r="V25" t="n">
        <v>3</v>
      </c>
      <c r="W25" t="n">
        <v>24</v>
      </c>
      <c r="X25" t="n">
        <v>1</v>
      </c>
      <c r="Y25" t="n">
        <v>2</v>
      </c>
      <c r="Z25" t="inlineStr">
        <is>
          <t>No</t>
        </is>
      </c>
      <c r="AA25">
        <f>IF(T25="","Missing",IF(T25&gt;=4,"High",IF(T25&gt;=3,"Moderate","Low")))</f>
        <v/>
      </c>
      <c r="AB25">
        <f>IF(COUNT(M25:O25)&lt;3,"Insufficient data",IF(MIN(M25:O25)=M25,"Teaching",IF(MIN(M25:O25)=N25,"Knowledge",IF(MIN(M25:O25)=O25,"Interaction",IF(P25&gt;=4,"High difficulty",IF(W25&gt;48,"Slow response","Balanced"))))))</f>
        <v/>
      </c>
      <c r="AC25">
        <f>IF(OR(T25&lt;3,P25&gt;=4,W25&gt;48),"At Risk","Stable")</f>
        <v/>
      </c>
      <c r="AD25">
        <f>IF(COUNT(M25:O25)&lt;3,"",ROUND((M25*0.30+N25*0.25+O25*0.25+(6-P25)*0.10+IF(W25&lt;=24,5,IF(W25&lt;=48,3,1))*0.10),2))</f>
        <v/>
      </c>
      <c r="AE25">
        <f>IF(AD25="","Unknown",IF(AD25&gt;=3.5,"Yes","No"))</f>
        <v/>
      </c>
      <c r="AF25">
        <f>IF(AC25="At Risk",IF(M25&lt;3,"Improve teaching clarity",IF(O25&lt;3,"Increase student interaction",IF(P25&gt;=4,"Reduce perceived difficulty with examples",IF(W25&gt;48,"Improve response time","Review student feedback")))),"Maintain current approach")</f>
        <v/>
      </c>
      <c r="AG25">
        <f>IF(AC25="At Risk","High",IF(T25&lt;4,"Medium","Low"))</f>
        <v/>
      </c>
    </row>
    <row r="26">
      <c r="A26" t="inlineStr">
        <is>
          <t>P005</t>
        </is>
      </c>
      <c r="B26" t="inlineStr">
        <is>
          <t>Dr. Simran Kaur</t>
        </is>
      </c>
      <c r="C26" t="inlineStr">
        <is>
          <t>Law</t>
        </is>
      </c>
      <c r="D26" t="inlineStr">
        <is>
          <t>B.A. LL.B. (Hons.)</t>
        </is>
      </c>
      <c r="E26" t="inlineStr">
        <is>
          <t>LL.M. (Constitutional Law)</t>
        </is>
      </c>
      <c r="F26" t="inlineStr">
        <is>
          <t>Ph.D. in Constitutional Law</t>
        </is>
      </c>
      <c r="G26" t="inlineStr">
        <is>
          <t>Ph.D.</t>
        </is>
      </c>
      <c r="H26" t="inlineStr">
        <is>
          <t>Constitutional Law</t>
        </is>
      </c>
      <c r="I26" t="inlineStr">
        <is>
          <t>Legal Research</t>
        </is>
      </c>
      <c r="J26" t="inlineStr">
        <is>
          <t>Jurisprudence</t>
        </is>
      </c>
      <c r="K26" t="inlineStr">
        <is>
          <t>4th</t>
        </is>
      </c>
      <c r="L26" t="inlineStr">
        <is>
          <t>Business</t>
        </is>
      </c>
      <c r="M26" t="n">
        <v>4</v>
      </c>
      <c r="N26" t="n">
        <v>5</v>
      </c>
      <c r="O26" t="n">
        <v>3</v>
      </c>
      <c r="P26" t="n">
        <v>4</v>
      </c>
      <c r="Q26" t="n">
        <v>5</v>
      </c>
      <c r="R26" t="inlineStr">
        <is>
          <t>Yes</t>
        </is>
      </c>
      <c r="S26" t="inlineStr">
        <is>
          <t>Too fast sometimes.</t>
        </is>
      </c>
      <c r="T26" t="n">
        <v>4</v>
      </c>
      <c r="U26" t="n">
        <v>33</v>
      </c>
      <c r="V26" t="n">
        <v>4</v>
      </c>
      <c r="W26" t="n">
        <v>4</v>
      </c>
      <c r="X26" t="n">
        <v>33</v>
      </c>
      <c r="Y26" t="n">
        <v>8</v>
      </c>
      <c r="Z26" t="inlineStr">
        <is>
          <t>Yes</t>
        </is>
      </c>
      <c r="AA26">
        <f>IF(T26="","Missing",IF(T26&gt;=4,"High",IF(T26&gt;=3,"Moderate","Low")))</f>
        <v/>
      </c>
      <c r="AB26">
        <f>IF(COUNT(M26:O26)&lt;3,"Insufficient data",IF(MIN(M26:O26)=M26,"Teaching",IF(MIN(M26:O26)=N26,"Knowledge",IF(MIN(M26:O26)=O26,"Interaction",IF(P26&gt;=4,"High difficulty",IF(W26&gt;48,"Slow response","Balanced"))))))</f>
        <v/>
      </c>
      <c r="AC26">
        <f>IF(OR(T26&lt;3,P26&gt;=4,W26&gt;48),"At Risk","Stable")</f>
        <v/>
      </c>
      <c r="AD26">
        <f>IF(COUNT(M26:O26)&lt;3,"",ROUND((M26*0.30+N26*0.25+O26*0.25+(6-P26)*0.10+IF(W26&lt;=24,5,IF(W26&lt;=48,3,1))*0.10),2))</f>
        <v/>
      </c>
      <c r="AE26">
        <f>IF(AD26="","Unknown",IF(AD26&gt;=3.5,"Yes","No"))</f>
        <v/>
      </c>
      <c r="AF26">
        <f>IF(AC26="At Risk",IF(M26&lt;3,"Improve teaching clarity",IF(O26&lt;3,"Increase student interaction",IF(P26&gt;=4,"Reduce perceived difficulty with examples",IF(W26&gt;48,"Improve response time","Review student feedback")))),"Maintain current approach")</f>
        <v/>
      </c>
      <c r="AG26">
        <f>IF(AC26="At Risk","High",IF(T26&lt;4,"Medium","Low"))</f>
        <v/>
      </c>
    </row>
    <row r="27">
      <c r="A27" t="inlineStr">
        <is>
          <t>P006</t>
        </is>
      </c>
      <c r="B27" t="inlineStr">
        <is>
          <t>Prof. Vivek Saini</t>
        </is>
      </c>
      <c r="C27" t="inlineStr">
        <is>
          <t>Law</t>
        </is>
      </c>
      <c r="D27" t="inlineStr">
        <is>
          <t>B.A. LL.B.</t>
        </is>
      </c>
      <c r="E27" t="inlineStr">
        <is>
          <t>LL.M. (Corporate Law)</t>
        </is>
      </c>
      <c r="G27" t="inlineStr">
        <is>
          <t>LL.M.</t>
        </is>
      </c>
      <c r="H27" t="inlineStr">
        <is>
          <t>Corporate Law</t>
        </is>
      </c>
      <c r="I27" t="inlineStr">
        <is>
          <t>Cyber Law</t>
        </is>
      </c>
      <c r="J27" t="inlineStr">
        <is>
          <t>IPR</t>
        </is>
      </c>
      <c r="K27" t="inlineStr">
        <is>
          <t>2nd</t>
        </is>
      </c>
      <c r="L27" t="inlineStr">
        <is>
          <t>Law</t>
        </is>
      </c>
      <c r="M27" t="n">
        <v>5</v>
      </c>
      <c r="N27" t="n">
        <v>4</v>
      </c>
      <c r="O27" t="n">
        <v>5</v>
      </c>
      <c r="P27" t="n">
        <v>4</v>
      </c>
      <c r="Q27" t="n">
        <v>3</v>
      </c>
      <c r="R27" t="inlineStr">
        <is>
          <t>Yes</t>
        </is>
      </c>
      <c r="T27" t="n">
        <v>4.67</v>
      </c>
      <c r="U27" t="n">
        <v>39</v>
      </c>
      <c r="V27" t="n">
        <v>1</v>
      </c>
      <c r="W27" t="n">
        <v>12</v>
      </c>
      <c r="X27" t="n">
        <v>4</v>
      </c>
      <c r="Y27" t="n">
        <v>6</v>
      </c>
      <c r="Z27" t="inlineStr">
        <is>
          <t>No</t>
        </is>
      </c>
      <c r="AA27">
        <f>IF(T27="","Missing",IF(T27&gt;=4,"High",IF(T27&gt;=3,"Moderate","Low")))</f>
        <v/>
      </c>
      <c r="AB27">
        <f>IF(COUNT(M27:O27)&lt;3,"Insufficient data",IF(MIN(M27:O27)=M27,"Teaching",IF(MIN(M27:O27)=N27,"Knowledge",IF(MIN(M27:O27)=O27,"Interaction",IF(P27&gt;=4,"High difficulty",IF(W27&gt;48,"Slow response","Balanced"))))))</f>
        <v/>
      </c>
      <c r="AC27">
        <f>IF(OR(T27&lt;3,P27&gt;=4,W27&gt;48),"At Risk","Stable")</f>
        <v/>
      </c>
      <c r="AD27">
        <f>IF(COUNT(M27:O27)&lt;3,"",ROUND((M27*0.30+N27*0.25+O27*0.25+(6-P27)*0.10+IF(W27&lt;=24,5,IF(W27&lt;=48,3,1))*0.10),2))</f>
        <v/>
      </c>
      <c r="AE27">
        <f>IF(AD27="","Unknown",IF(AD27&gt;=3.5,"Yes","No"))</f>
        <v/>
      </c>
      <c r="AF27">
        <f>IF(AC27="At Risk",IF(M27&lt;3,"Improve teaching clarity",IF(O27&lt;3,"Increase student interaction",IF(P27&gt;=4,"Reduce perceived difficulty with examples",IF(W27&gt;48,"Improve response time","Review student feedback")))),"Maintain current approach")</f>
        <v/>
      </c>
      <c r="AG27">
        <f>IF(AC27="At Risk","High",IF(T27&lt;4,"Medium","Low"))</f>
        <v/>
      </c>
    </row>
    <row r="28">
      <c r="A28" t="inlineStr">
        <is>
          <t>P007</t>
        </is>
      </c>
      <c r="B28" t="inlineStr">
        <is>
          <t>Dr. Ritu Joshi</t>
        </is>
      </c>
      <c r="C28" t="inlineStr">
        <is>
          <t>Liberal Studies</t>
        </is>
      </c>
      <c r="D28" t="inlineStr">
        <is>
          <t>B.A. (Psychology)</t>
        </is>
      </c>
      <c r="E28" t="inlineStr">
        <is>
          <t>M.A. (Psychology)</t>
        </is>
      </c>
      <c r="F28" t="inlineStr">
        <is>
          <t>Ph.D. in Psychology</t>
        </is>
      </c>
      <c r="G28" t="inlineStr">
        <is>
          <t>Ph.D.</t>
        </is>
      </c>
      <c r="H28" t="inlineStr">
        <is>
          <t>Psychology</t>
        </is>
      </c>
      <c r="I28" t="inlineStr">
        <is>
          <t>Research Methodology</t>
        </is>
      </c>
      <c r="J28" t="inlineStr">
        <is>
          <t>Personality Development</t>
        </is>
      </c>
      <c r="K28" t="inlineStr">
        <is>
          <t>2nd</t>
        </is>
      </c>
      <c r="L28" t="inlineStr">
        <is>
          <t>Business</t>
        </is>
      </c>
      <c r="M28" t="n">
        <v>2</v>
      </c>
      <c r="N28" t="n">
        <v>1</v>
      </c>
      <c r="O28" t="n">
        <v>4</v>
      </c>
      <c r="P28" t="n">
        <v>2</v>
      </c>
      <c r="Q28" t="n">
        <v>4</v>
      </c>
      <c r="R28" t="inlineStr">
        <is>
          <t>Yes</t>
        </is>
      </c>
      <c r="S28" t="inlineStr">
        <is>
          <t>Very supportive during class.</t>
        </is>
      </c>
      <c r="T28" t="n">
        <v>2.33</v>
      </c>
      <c r="U28" t="n">
        <v>30</v>
      </c>
      <c r="V28" t="n">
        <v>3</v>
      </c>
      <c r="W28" t="n">
        <v>4</v>
      </c>
      <c r="X28" t="n">
        <v>14</v>
      </c>
      <c r="Y28" t="n">
        <v>5</v>
      </c>
      <c r="Z28" t="inlineStr">
        <is>
          <t>No</t>
        </is>
      </c>
      <c r="AA28">
        <f>IF(T28="","Missing",IF(T28&gt;=4,"High",IF(T28&gt;=3,"Moderate","Low")))</f>
        <v/>
      </c>
      <c r="AB28">
        <f>IF(COUNT(M28:O28)&lt;3,"Insufficient data",IF(MIN(M28:O28)=M28,"Teaching",IF(MIN(M28:O28)=N28,"Knowledge",IF(MIN(M28:O28)=O28,"Interaction",IF(P28&gt;=4,"High difficulty",IF(W28&gt;48,"Slow response","Balanced"))))))</f>
        <v/>
      </c>
      <c r="AC28">
        <f>IF(OR(T28&lt;3,P28&gt;=4,W28&gt;48),"At Risk","Stable")</f>
        <v/>
      </c>
      <c r="AD28">
        <f>IF(COUNT(M28:O28)&lt;3,"",ROUND((M28*0.30+N28*0.25+O28*0.25+(6-P28)*0.10+IF(W28&lt;=24,5,IF(W28&lt;=48,3,1))*0.10),2))</f>
        <v/>
      </c>
      <c r="AE28">
        <f>IF(AD28="","Unknown",IF(AD28&gt;=3.5,"Yes","No"))</f>
        <v/>
      </c>
      <c r="AF28">
        <f>IF(AC28="At Risk",IF(M28&lt;3,"Improve teaching clarity",IF(O28&lt;3,"Increase student interaction",IF(P28&gt;=4,"Reduce perceived difficulty with examples",IF(W28&gt;48,"Improve response time","Review student feedback")))),"Maintain current approach")</f>
        <v/>
      </c>
      <c r="AG28">
        <f>IF(AC28="At Risk","High",IF(T28&lt;4,"Medium","Low"))</f>
        <v/>
      </c>
    </row>
    <row r="29">
      <c r="A29" t="inlineStr">
        <is>
          <t>P008</t>
        </is>
      </c>
      <c r="B29" t="inlineStr">
        <is>
          <t>Prof. Karan Bhatia</t>
        </is>
      </c>
      <c r="C29" t="inlineStr">
        <is>
          <t>Liberal Studies</t>
        </is>
      </c>
      <c r="D29" t="inlineStr">
        <is>
          <t>B.A. (Sociology)</t>
        </is>
      </c>
      <c r="E29" t="inlineStr">
        <is>
          <t>M.A. (Sociology)</t>
        </is>
      </c>
      <c r="G29" t="inlineStr">
        <is>
          <t>M.A.</t>
        </is>
      </c>
      <c r="H29" t="inlineStr">
        <is>
          <t>Sociology</t>
        </is>
      </c>
      <c r="I29" t="inlineStr">
        <is>
          <t>Critical Thinking</t>
        </is>
      </c>
      <c r="J29" t="inlineStr">
        <is>
          <t>Communication Skills</t>
        </is>
      </c>
      <c r="K29" t="inlineStr">
        <is>
          <t>2nd</t>
        </is>
      </c>
      <c r="L29" t="inlineStr">
        <is>
          <t>Business</t>
        </is>
      </c>
      <c r="M29" t="n">
        <v>5</v>
      </c>
      <c r="N29" t="n">
        <v>5</v>
      </c>
      <c r="O29" t="n">
        <v>5</v>
      </c>
      <c r="P29" t="n">
        <v>3</v>
      </c>
      <c r="Q29" t="n">
        <v>1</v>
      </c>
      <c r="R29" t="inlineStr">
        <is>
          <t>Yes</t>
        </is>
      </c>
      <c r="S29" t="inlineStr">
        <is>
          <t>Interactive sessions.</t>
        </is>
      </c>
      <c r="T29" t="n">
        <v>5</v>
      </c>
      <c r="U29" t="n">
        <v>18</v>
      </c>
      <c r="V29" t="n">
        <v>2</v>
      </c>
      <c r="W29" t="n">
        <v>24</v>
      </c>
      <c r="X29" t="n">
        <v>29</v>
      </c>
      <c r="Y29" t="n">
        <v>14</v>
      </c>
      <c r="Z29" t="inlineStr">
        <is>
          <t>Yes</t>
        </is>
      </c>
      <c r="AA29">
        <f>IF(T29="","Missing",IF(T29&gt;=4,"High",IF(T29&gt;=3,"Moderate","Low")))</f>
        <v/>
      </c>
      <c r="AB29">
        <f>IF(COUNT(M29:O29)&lt;3,"Insufficient data",IF(MIN(M29:O29)=M29,"Teaching",IF(MIN(M29:O29)=N29,"Knowledge",IF(MIN(M29:O29)=O29,"Interaction",IF(P29&gt;=4,"High difficulty",IF(W29&gt;48,"Slow response","Balanced"))))))</f>
        <v/>
      </c>
      <c r="AC29">
        <f>IF(OR(T29&lt;3,P29&gt;=4,W29&gt;48),"At Risk","Stable")</f>
        <v/>
      </c>
      <c r="AD29">
        <f>IF(COUNT(M29:O29)&lt;3,"",ROUND((M29*0.30+N29*0.25+O29*0.25+(6-P29)*0.10+IF(W29&lt;=24,5,IF(W29&lt;=48,3,1))*0.10),2))</f>
        <v/>
      </c>
      <c r="AE29">
        <f>IF(AD29="","Unknown",IF(AD29&gt;=3.5,"Yes","No"))</f>
        <v/>
      </c>
      <c r="AF29">
        <f>IF(AC29="At Risk",IF(M29&lt;3,"Improve teaching clarity",IF(O29&lt;3,"Increase student interaction",IF(P29&gt;=4,"Reduce perceived difficulty with examples",IF(W29&gt;48,"Improve response time","Review student feedback")))),"Maintain current approach")</f>
        <v/>
      </c>
      <c r="AG29">
        <f>IF(AC29="At Risk","High",IF(T29&lt;4,"Medium","Low"))</f>
        <v/>
      </c>
    </row>
    <row r="30">
      <c r="A30" t="inlineStr">
        <is>
          <t>P009</t>
        </is>
      </c>
      <c r="B30" t="inlineStr">
        <is>
          <t>Dr. Priya Nanda</t>
        </is>
      </c>
      <c r="C30" t="inlineStr">
        <is>
          <t>Computer Science</t>
        </is>
      </c>
      <c r="D30" t="inlineStr">
        <is>
          <t>B.Tech (Computer Science)</t>
        </is>
      </c>
      <c r="E30" t="inlineStr">
        <is>
          <t>M.Tech (Machine Learning)</t>
        </is>
      </c>
      <c r="F30" t="inlineStr">
        <is>
          <t>Ph.D. in Computer Science</t>
        </is>
      </c>
      <c r="G30" t="inlineStr">
        <is>
          <t>Ph.D.</t>
        </is>
      </c>
      <c r="H30" t="inlineStr">
        <is>
          <t>Machine Learning</t>
        </is>
      </c>
      <c r="I30" t="inlineStr">
        <is>
          <t>Artificial Intelligence</t>
        </is>
      </c>
      <c r="J30" t="inlineStr">
        <is>
          <t>Data Mining</t>
        </is>
      </c>
      <c r="K30" t="inlineStr">
        <is>
          <t>4th</t>
        </is>
      </c>
      <c r="L30" t="inlineStr">
        <is>
          <t>CSE</t>
        </is>
      </c>
      <c r="M30" t="n">
        <v>5</v>
      </c>
      <c r="N30" t="n">
        <v>5</v>
      </c>
      <c r="O30" t="n">
        <v>4</v>
      </c>
      <c r="P30" t="n">
        <v>1</v>
      </c>
      <c r="Q30" t="n">
        <v>2</v>
      </c>
      <c r="R30" t="inlineStr">
        <is>
          <t>Yes</t>
        </is>
      </c>
      <c r="S30" t="inlineStr">
        <is>
          <t>Very supportive during class.</t>
        </is>
      </c>
      <c r="T30" t="n">
        <v>4.67</v>
      </c>
      <c r="U30" t="n">
        <v>20</v>
      </c>
      <c r="V30" t="n">
        <v>2</v>
      </c>
      <c r="W30" t="n">
        <v>6</v>
      </c>
      <c r="X30" t="n">
        <v>2</v>
      </c>
      <c r="Y30" t="n">
        <v>5</v>
      </c>
      <c r="Z30" t="inlineStr">
        <is>
          <t>No</t>
        </is>
      </c>
      <c r="AA30">
        <f>IF(T30="","Missing",IF(T30&gt;=4,"High",IF(T30&gt;=3,"Moderate","Low")))</f>
        <v/>
      </c>
      <c r="AB30">
        <f>IF(COUNT(M30:O30)&lt;3,"Insufficient data",IF(MIN(M30:O30)=M30,"Teaching",IF(MIN(M30:O30)=N30,"Knowledge",IF(MIN(M30:O30)=O30,"Interaction",IF(P30&gt;=4,"High difficulty",IF(W30&gt;48,"Slow response","Balanced"))))))</f>
        <v/>
      </c>
      <c r="AC30">
        <f>IF(OR(T30&lt;3,P30&gt;=4,W30&gt;48),"At Risk","Stable")</f>
        <v/>
      </c>
      <c r="AD30">
        <f>IF(COUNT(M30:O30)&lt;3,"",ROUND((M30*0.30+N30*0.25+O30*0.25+(6-P30)*0.10+IF(W30&lt;=24,5,IF(W30&lt;=48,3,1))*0.10),2))</f>
        <v/>
      </c>
      <c r="AE30">
        <f>IF(AD30="","Unknown",IF(AD30&gt;=3.5,"Yes","No"))</f>
        <v/>
      </c>
      <c r="AF30">
        <f>IF(AC30="At Risk",IF(M30&lt;3,"Improve teaching clarity",IF(O30&lt;3,"Increase student interaction",IF(P30&gt;=4,"Reduce perceived difficulty with examples",IF(W30&gt;48,"Improve response time","Review student feedback")))),"Maintain current approach")</f>
        <v/>
      </c>
      <c r="AG30">
        <f>IF(AC30="At Risk","High",IF(T30&lt;4,"Medium","Low"))</f>
        <v/>
      </c>
    </row>
    <row r="31">
      <c r="A31" t="inlineStr">
        <is>
          <t>P010</t>
        </is>
      </c>
      <c r="B31" t="inlineStr">
        <is>
          <t>Dr. Mohit Arora</t>
        </is>
      </c>
      <c r="C31" t="inlineStr">
        <is>
          <t>Business</t>
        </is>
      </c>
      <c r="D31" t="inlineStr">
        <is>
          <t>BBA</t>
        </is>
      </c>
      <c r="E31" t="inlineStr">
        <is>
          <t>MBA (Business Analytics)</t>
        </is>
      </c>
      <c r="G31" t="inlineStr">
        <is>
          <t>MBA</t>
        </is>
      </c>
      <c r="H31" t="inlineStr">
        <is>
          <t>Business Analytics</t>
        </is>
      </c>
      <c r="I31" t="inlineStr">
        <is>
          <t>Operations Management</t>
        </is>
      </c>
      <c r="J31" t="inlineStr">
        <is>
          <t>Excel for Business</t>
        </is>
      </c>
      <c r="K31" t="inlineStr">
        <is>
          <t>3rd</t>
        </is>
      </c>
      <c r="L31" t="inlineStr">
        <is>
          <t>AI &amp; DS</t>
        </is>
      </c>
      <c r="M31" t="n">
        <v>3</v>
      </c>
      <c r="N31" t="n">
        <v>3</v>
      </c>
      <c r="O31" t="n">
        <v>4</v>
      </c>
      <c r="P31" t="n">
        <v>5</v>
      </c>
      <c r="Q31" t="n">
        <v>5</v>
      </c>
      <c r="R31" t="inlineStr">
        <is>
          <t>No</t>
        </is>
      </c>
      <c r="S31" t="inlineStr">
        <is>
          <t>Interactive sessions.</t>
        </is>
      </c>
      <c r="T31" t="n">
        <v>3.33</v>
      </c>
      <c r="U31" t="n">
        <v>20</v>
      </c>
      <c r="V31" t="n">
        <v>2</v>
      </c>
      <c r="W31" t="n">
        <v>2</v>
      </c>
      <c r="X31" t="n">
        <v>11</v>
      </c>
      <c r="Y31" t="n">
        <v>13</v>
      </c>
      <c r="Z31" t="inlineStr">
        <is>
          <t>Yes</t>
        </is>
      </c>
      <c r="AA31">
        <f>IF(T31="","Missing",IF(T31&gt;=4,"High",IF(T31&gt;=3,"Moderate","Low")))</f>
        <v/>
      </c>
      <c r="AB31">
        <f>IF(COUNT(M31:O31)&lt;3,"Insufficient data",IF(MIN(M31:O31)=M31,"Teaching",IF(MIN(M31:O31)=N31,"Knowledge",IF(MIN(M31:O31)=O31,"Interaction",IF(P31&gt;=4,"High difficulty",IF(W31&gt;48,"Slow response","Balanced"))))))</f>
        <v/>
      </c>
      <c r="AC31">
        <f>IF(OR(T31&lt;3,P31&gt;=4,W31&gt;48),"At Risk","Stable")</f>
        <v/>
      </c>
      <c r="AD31">
        <f>IF(COUNT(M31:O31)&lt;3,"",ROUND((M31*0.30+N31*0.25+O31*0.25+(6-P31)*0.10+IF(W31&lt;=24,5,IF(W31&lt;=48,3,1))*0.10),2))</f>
        <v/>
      </c>
      <c r="AE31">
        <f>IF(AD31="","Unknown",IF(AD31&gt;=3.5,"Yes","No"))</f>
        <v/>
      </c>
      <c r="AF31">
        <f>IF(AC31="At Risk",IF(M31&lt;3,"Improve teaching clarity",IF(O31&lt;3,"Increase student interaction",IF(P31&gt;=4,"Reduce perceived difficulty with examples",IF(W31&gt;48,"Improve response time","Review student feedback")))),"Maintain current approach")</f>
        <v/>
      </c>
      <c r="AG31">
        <f>IF(AC31="At Risk","High",IF(T31&lt;4,"Medium","Low"))</f>
        <v/>
      </c>
    </row>
    <row r="32">
      <c r="A32" t="inlineStr">
        <is>
          <t>P001</t>
        </is>
      </c>
      <c r="B32" t="inlineStr">
        <is>
          <t>Dr. Aditi Sharma</t>
        </is>
      </c>
      <c r="C32" t="inlineStr">
        <is>
          <t>Computer Science</t>
        </is>
      </c>
      <c r="D32" t="inlineStr">
        <is>
          <t>B.Tech (Computer Science)</t>
        </is>
      </c>
      <c r="E32" t="inlineStr">
        <is>
          <t>M.Tech (Computer Science &amp; Engineering)</t>
        </is>
      </c>
      <c r="F32" t="inlineStr">
        <is>
          <t>Ph.D. in Data Science</t>
        </is>
      </c>
      <c r="G32" t="inlineStr">
        <is>
          <t>Ph.D.</t>
        </is>
      </c>
      <c r="H32" t="inlineStr">
        <is>
          <t>Data Science</t>
        </is>
      </c>
      <c r="I32" t="inlineStr">
        <is>
          <t>Python Programming</t>
        </is>
      </c>
      <c r="J32" t="inlineStr">
        <is>
          <t>Data Visualization</t>
        </is>
      </c>
      <c r="K32" t="inlineStr">
        <is>
          <t>3rd</t>
        </is>
      </c>
      <c r="L32" t="inlineStr">
        <is>
          <t>CSE</t>
        </is>
      </c>
      <c r="M32" t="n">
        <v>4</v>
      </c>
      <c r="N32" t="n">
        <v>3</v>
      </c>
      <c r="O32" t="n">
        <v>2</v>
      </c>
      <c r="P32" t="n">
        <v>5</v>
      </c>
      <c r="Q32" t="n">
        <v>2</v>
      </c>
      <c r="R32" t="inlineStr">
        <is>
          <t>Yes</t>
        </is>
      </c>
      <c r="S32" t="inlineStr">
        <is>
          <t>Assignments are difficult.</t>
        </is>
      </c>
      <c r="T32" t="n">
        <v>3</v>
      </c>
      <c r="U32" t="n">
        <v>21</v>
      </c>
      <c r="V32" t="n">
        <v>3</v>
      </c>
      <c r="W32" t="n">
        <v>2</v>
      </c>
      <c r="X32" t="n">
        <v>21</v>
      </c>
      <c r="Y32" t="n">
        <v>13</v>
      </c>
      <c r="Z32" t="inlineStr">
        <is>
          <t>No</t>
        </is>
      </c>
      <c r="AA32">
        <f>IF(T32="","Missing",IF(T32&gt;=4,"High",IF(T32&gt;=3,"Moderate","Low")))</f>
        <v/>
      </c>
      <c r="AB32">
        <f>IF(COUNT(M32:O32)&lt;3,"Insufficient data",IF(MIN(M32:O32)=M32,"Teaching",IF(MIN(M32:O32)=N32,"Knowledge",IF(MIN(M32:O32)=O32,"Interaction",IF(P32&gt;=4,"High difficulty",IF(W32&gt;48,"Slow response","Balanced"))))))</f>
        <v/>
      </c>
      <c r="AC32">
        <f>IF(OR(T32&lt;3,P32&gt;=4,W32&gt;48),"At Risk","Stable")</f>
        <v/>
      </c>
      <c r="AD32">
        <f>IF(COUNT(M32:O32)&lt;3,"",ROUND((M32*0.30+N32*0.25+O32*0.25+(6-P32)*0.10+IF(W32&lt;=24,5,IF(W32&lt;=48,3,1))*0.10),2))</f>
        <v/>
      </c>
      <c r="AE32">
        <f>IF(AD32="","Unknown",IF(AD32&gt;=3.5,"Yes","No"))</f>
        <v/>
      </c>
      <c r="AF32">
        <f>IF(AC32="At Risk",IF(M32&lt;3,"Improve teaching clarity",IF(O32&lt;3,"Increase student interaction",IF(P32&gt;=4,"Reduce perceived difficulty with examples",IF(W32&gt;48,"Improve response time","Review student feedback")))),"Maintain current approach")</f>
        <v/>
      </c>
      <c r="AG32">
        <f>IF(AC32="At Risk","High",IF(T32&lt;4,"Medium","Low"))</f>
        <v/>
      </c>
    </row>
    <row r="33">
      <c r="A33" t="inlineStr">
        <is>
          <t>P002</t>
        </is>
      </c>
      <c r="B33" t="inlineStr">
        <is>
          <t>Dr. Rahul Mehta</t>
        </is>
      </c>
      <c r="C33" t="inlineStr">
        <is>
          <t>Computer Science</t>
        </is>
      </c>
      <c r="D33" t="inlineStr">
        <is>
          <t>B.Tech (Information Technology)</t>
        </is>
      </c>
      <c r="E33" t="inlineStr">
        <is>
          <t>M.Tech (Computer Science)</t>
        </is>
      </c>
      <c r="F33" t="inlineStr">
        <is>
          <t>Ph.D. in Artificial Intelligence</t>
        </is>
      </c>
      <c r="G33" t="inlineStr">
        <is>
          <t>Ph.D.</t>
        </is>
      </c>
      <c r="H33" t="inlineStr">
        <is>
          <t>Artificial Intelligence</t>
        </is>
      </c>
      <c r="I33" t="inlineStr">
        <is>
          <t>Data Structures</t>
        </is>
      </c>
      <c r="J33" t="inlineStr">
        <is>
          <t>Computer Networks</t>
        </is>
      </c>
      <c r="K33" t="inlineStr">
        <is>
          <t>2nd</t>
        </is>
      </c>
      <c r="L33" t="inlineStr">
        <is>
          <t>AI &amp; DS</t>
        </is>
      </c>
      <c r="M33" t="n">
        <v>3</v>
      </c>
      <c r="N33" t="n">
        <v>2</v>
      </c>
      <c r="O33" t="n">
        <v>3</v>
      </c>
      <c r="P33" t="n">
        <v>3</v>
      </c>
      <c r="Q33" t="n">
        <v>1</v>
      </c>
      <c r="R33" t="inlineStr">
        <is>
          <t>Yes</t>
        </is>
      </c>
      <c r="S33" t="inlineStr">
        <is>
          <t>Excellent real-world case studies.</t>
        </is>
      </c>
      <c r="T33" t="n">
        <v>2.67</v>
      </c>
      <c r="U33" t="n">
        <v>27</v>
      </c>
      <c r="V33" t="n">
        <v>5</v>
      </c>
      <c r="W33" t="n">
        <v>6</v>
      </c>
      <c r="X33" t="n">
        <v>33</v>
      </c>
      <c r="Y33" t="n">
        <v>6</v>
      </c>
      <c r="Z33" t="inlineStr">
        <is>
          <t>No</t>
        </is>
      </c>
      <c r="AA33">
        <f>IF(T33="","Missing",IF(T33&gt;=4,"High",IF(T33&gt;=3,"Moderate","Low")))</f>
        <v/>
      </c>
      <c r="AB33">
        <f>IF(COUNT(M33:O33)&lt;3,"Insufficient data",IF(MIN(M33:O33)=M33,"Teaching",IF(MIN(M33:O33)=N33,"Knowledge",IF(MIN(M33:O33)=O33,"Interaction",IF(P33&gt;=4,"High difficulty",IF(W33&gt;48,"Slow response","Balanced"))))))</f>
        <v/>
      </c>
      <c r="AC33">
        <f>IF(OR(T33&lt;3,P33&gt;=4,W33&gt;48),"At Risk","Stable")</f>
        <v/>
      </c>
      <c r="AD33">
        <f>IF(COUNT(M33:O33)&lt;3,"",ROUND((M33*0.30+N33*0.25+O33*0.25+(6-P33)*0.10+IF(W33&lt;=24,5,IF(W33&lt;=48,3,1))*0.10),2))</f>
        <v/>
      </c>
      <c r="AE33">
        <f>IF(AD33="","Unknown",IF(AD33&gt;=3.5,"Yes","No"))</f>
        <v/>
      </c>
      <c r="AF33">
        <f>IF(AC33="At Risk",IF(M33&lt;3,"Improve teaching clarity",IF(O33&lt;3,"Increase student interaction",IF(P33&gt;=4,"Reduce perceived difficulty with examples",IF(W33&gt;48,"Improve response time","Review student feedback")))),"Maintain current approach")</f>
        <v/>
      </c>
      <c r="AG33">
        <f>IF(AC33="At Risk","High",IF(T33&lt;4,"Medium","Low"))</f>
        <v/>
      </c>
    </row>
    <row r="34">
      <c r="A34" t="inlineStr">
        <is>
          <t>P003</t>
        </is>
      </c>
      <c r="B34" t="inlineStr">
        <is>
          <t>Prof. Neha Kapoor</t>
        </is>
      </c>
      <c r="C34" t="inlineStr">
        <is>
          <t>Business</t>
        </is>
      </c>
      <c r="D34" t="inlineStr">
        <is>
          <t>BBA</t>
        </is>
      </c>
      <c r="E34" t="inlineStr">
        <is>
          <t>MBA (Marketing)</t>
        </is>
      </c>
      <c r="F34" t="inlineStr">
        <is>
          <t>Ph.D. in Marketing Management</t>
        </is>
      </c>
      <c r="G34" t="inlineStr">
        <is>
          <t>Ph.D.</t>
        </is>
      </c>
      <c r="H34" t="inlineStr">
        <is>
          <t>Marketing</t>
        </is>
      </c>
      <c r="I34" t="inlineStr">
        <is>
          <t>Consumer Behaviour</t>
        </is>
      </c>
      <c r="J34" t="inlineStr">
        <is>
          <t>Digital Marketing</t>
        </is>
      </c>
      <c r="K34" t="inlineStr">
        <is>
          <t>3rd</t>
        </is>
      </c>
      <c r="L34" t="inlineStr">
        <is>
          <t>Business</t>
        </is>
      </c>
      <c r="M34" t="n">
        <v>5</v>
      </c>
      <c r="N34" t="n">
        <v>5</v>
      </c>
      <c r="O34" t="n">
        <v>3</v>
      </c>
      <c r="P34" t="n">
        <v>1</v>
      </c>
      <c r="Q34" t="n">
        <v>3</v>
      </c>
      <c r="R34" t="inlineStr">
        <is>
          <t>Yes</t>
        </is>
      </c>
      <c r="S34" t="inlineStr">
        <is>
          <t>Explains concepts clearly.</t>
        </is>
      </c>
      <c r="T34" t="n">
        <v>4.33</v>
      </c>
      <c r="U34" t="n">
        <v>18</v>
      </c>
      <c r="V34" t="n">
        <v>0</v>
      </c>
      <c r="W34" t="n">
        <v>48</v>
      </c>
      <c r="X34" t="n">
        <v>32</v>
      </c>
      <c r="Y34" t="n">
        <v>6</v>
      </c>
      <c r="Z34" t="inlineStr">
        <is>
          <t>No</t>
        </is>
      </c>
      <c r="AA34">
        <f>IF(T34="","Missing",IF(T34&gt;=4,"High",IF(T34&gt;=3,"Moderate","Low")))</f>
        <v/>
      </c>
      <c r="AB34">
        <f>IF(COUNT(M34:O34)&lt;3,"Insufficient data",IF(MIN(M34:O34)=M34,"Teaching",IF(MIN(M34:O34)=N34,"Knowledge",IF(MIN(M34:O34)=O34,"Interaction",IF(P34&gt;=4,"High difficulty",IF(W34&gt;48,"Slow response","Balanced"))))))</f>
        <v/>
      </c>
      <c r="AC34">
        <f>IF(OR(T34&lt;3,P34&gt;=4,W34&gt;48),"At Risk","Stable")</f>
        <v/>
      </c>
      <c r="AD34">
        <f>IF(COUNT(M34:O34)&lt;3,"",ROUND((M34*0.30+N34*0.25+O34*0.25+(6-P34)*0.10+IF(W34&lt;=24,5,IF(W34&lt;=48,3,1))*0.10),2))</f>
        <v/>
      </c>
      <c r="AE34">
        <f>IF(AD34="","Unknown",IF(AD34&gt;=3.5,"Yes","No"))</f>
        <v/>
      </c>
      <c r="AF34">
        <f>IF(AC34="At Risk",IF(M34&lt;3,"Improve teaching clarity",IF(O34&lt;3,"Increase student interaction",IF(P34&gt;=4,"Reduce perceived difficulty with examples",IF(W34&gt;48,"Improve response time","Review student feedback")))),"Maintain current approach")</f>
        <v/>
      </c>
      <c r="AG34">
        <f>IF(AC34="At Risk","High",IF(T34&lt;4,"Medium","Low"))</f>
        <v/>
      </c>
    </row>
    <row r="35">
      <c r="A35" t="inlineStr">
        <is>
          <t>P004</t>
        </is>
      </c>
      <c r="B35" t="inlineStr">
        <is>
          <t>Dr. Arjun Verma</t>
        </is>
      </c>
      <c r="C35" t="inlineStr">
        <is>
          <t>Business</t>
        </is>
      </c>
      <c r="D35" t="inlineStr">
        <is>
          <t>B.Com</t>
        </is>
      </c>
      <c r="E35" t="inlineStr">
        <is>
          <t>MBA (Finance)</t>
        </is>
      </c>
      <c r="F35" t="inlineStr">
        <is>
          <t>Ph.D. in Finance</t>
        </is>
      </c>
      <c r="G35" t="inlineStr">
        <is>
          <t>Ph.D.</t>
        </is>
      </c>
      <c r="H35" t="inlineStr">
        <is>
          <t>Finance</t>
        </is>
      </c>
      <c r="I35" t="inlineStr">
        <is>
          <t>Investment Analysis</t>
        </is>
      </c>
      <c r="J35" t="inlineStr">
        <is>
          <t>Business Statistics</t>
        </is>
      </c>
      <c r="K35" t="inlineStr">
        <is>
          <t>4th</t>
        </is>
      </c>
      <c r="L35" t="inlineStr">
        <is>
          <t>ECE</t>
        </is>
      </c>
      <c r="M35" t="n">
        <v>3</v>
      </c>
      <c r="N35" t="n">
        <v>3</v>
      </c>
      <c r="O35" t="n">
        <v>2</v>
      </c>
      <c r="P35" t="n">
        <v>4</v>
      </c>
      <c r="Q35" t="n">
        <v>4</v>
      </c>
      <c r="R35" t="inlineStr">
        <is>
          <t>No</t>
        </is>
      </c>
      <c r="S35" t="inlineStr">
        <is>
          <t>Too fast sometimes.</t>
        </is>
      </c>
      <c r="T35" t="n">
        <v>2.67</v>
      </c>
      <c r="U35" t="n">
        <v>27</v>
      </c>
      <c r="V35" t="n">
        <v>5</v>
      </c>
      <c r="W35" t="n">
        <v>4</v>
      </c>
      <c r="X35" t="n">
        <v>14</v>
      </c>
      <c r="Y35" t="n">
        <v>10</v>
      </c>
      <c r="Z35" t="inlineStr">
        <is>
          <t>Yes</t>
        </is>
      </c>
      <c r="AA35">
        <f>IF(T35="","Missing",IF(T35&gt;=4,"High",IF(T35&gt;=3,"Moderate","Low")))</f>
        <v/>
      </c>
      <c r="AB35">
        <f>IF(COUNT(M35:O35)&lt;3,"Insufficient data",IF(MIN(M35:O35)=M35,"Teaching",IF(MIN(M35:O35)=N35,"Knowledge",IF(MIN(M35:O35)=O35,"Interaction",IF(P35&gt;=4,"High difficulty",IF(W35&gt;48,"Slow response","Balanced"))))))</f>
        <v/>
      </c>
      <c r="AC35">
        <f>IF(OR(T35&lt;3,P35&gt;=4,W35&gt;48),"At Risk","Stable")</f>
        <v/>
      </c>
      <c r="AD35">
        <f>IF(COUNT(M35:O35)&lt;3,"",ROUND((M35*0.30+N35*0.25+O35*0.25+(6-P35)*0.10+IF(W35&lt;=24,5,IF(W35&lt;=48,3,1))*0.10),2))</f>
        <v/>
      </c>
      <c r="AE35">
        <f>IF(AD35="","Unknown",IF(AD35&gt;=3.5,"Yes","No"))</f>
        <v/>
      </c>
      <c r="AF35">
        <f>IF(AC35="At Risk",IF(M35&lt;3,"Improve teaching clarity",IF(O35&lt;3,"Increase student interaction",IF(P35&gt;=4,"Reduce perceived difficulty with examples",IF(W35&gt;48,"Improve response time","Review student feedback")))),"Maintain current approach")</f>
        <v/>
      </c>
      <c r="AG35">
        <f>IF(AC35="At Risk","High",IF(T35&lt;4,"Medium","Low"))</f>
        <v/>
      </c>
    </row>
    <row r="36">
      <c r="A36" t="inlineStr">
        <is>
          <t>P005</t>
        </is>
      </c>
      <c r="B36" t="inlineStr">
        <is>
          <t>Dr. Simran Kaur</t>
        </is>
      </c>
      <c r="C36" t="inlineStr">
        <is>
          <t>Law</t>
        </is>
      </c>
      <c r="D36" t="inlineStr">
        <is>
          <t>B.A. LL.B. (Hons.)</t>
        </is>
      </c>
      <c r="E36" t="inlineStr">
        <is>
          <t>LL.M. (Constitutional Law)</t>
        </is>
      </c>
      <c r="F36" t="inlineStr">
        <is>
          <t>Ph.D. in Constitutional Law</t>
        </is>
      </c>
      <c r="G36" t="inlineStr">
        <is>
          <t>Ph.D.</t>
        </is>
      </c>
      <c r="H36" t="inlineStr">
        <is>
          <t>Constitutional Law</t>
        </is>
      </c>
      <c r="I36" t="inlineStr">
        <is>
          <t>Legal Research</t>
        </is>
      </c>
      <c r="J36" t="inlineStr">
        <is>
          <t>Jurisprudence</t>
        </is>
      </c>
      <c r="K36" t="inlineStr">
        <is>
          <t>2nd</t>
        </is>
      </c>
      <c r="L36" t="inlineStr">
        <is>
          <t>AI &amp; DS</t>
        </is>
      </c>
      <c r="M36" t="n">
        <v>3</v>
      </c>
      <c r="N36" t="n">
        <v>3</v>
      </c>
      <c r="O36" t="n">
        <v>4</v>
      </c>
      <c r="P36" t="n">
        <v>1</v>
      </c>
      <c r="Q36" t="n">
        <v>1</v>
      </c>
      <c r="R36" t="inlineStr">
        <is>
          <t>No</t>
        </is>
      </c>
      <c r="S36" t="inlineStr">
        <is>
          <t>Average teaching style.</t>
        </is>
      </c>
      <c r="T36" t="n">
        <v>3.33</v>
      </c>
      <c r="U36" t="n">
        <v>23</v>
      </c>
      <c r="V36" t="n">
        <v>0</v>
      </c>
      <c r="W36" t="n">
        <v>2</v>
      </c>
      <c r="X36" t="n">
        <v>24</v>
      </c>
      <c r="Y36" t="n">
        <v>9</v>
      </c>
      <c r="Z36" t="inlineStr">
        <is>
          <t>Yes</t>
        </is>
      </c>
      <c r="AA36">
        <f>IF(T36="","Missing",IF(T36&gt;=4,"High",IF(T36&gt;=3,"Moderate","Low")))</f>
        <v/>
      </c>
      <c r="AB36">
        <f>IF(COUNT(M36:O36)&lt;3,"Insufficient data",IF(MIN(M36:O36)=M36,"Teaching",IF(MIN(M36:O36)=N36,"Knowledge",IF(MIN(M36:O36)=O36,"Interaction",IF(P36&gt;=4,"High difficulty",IF(W36&gt;48,"Slow response","Balanced"))))))</f>
        <v/>
      </c>
      <c r="AC36">
        <f>IF(OR(T36&lt;3,P36&gt;=4,W36&gt;48),"At Risk","Stable")</f>
        <v/>
      </c>
      <c r="AD36">
        <f>IF(COUNT(M36:O36)&lt;3,"",ROUND((M36*0.30+N36*0.25+O36*0.25+(6-P36)*0.10+IF(W36&lt;=24,5,IF(W36&lt;=48,3,1))*0.10),2))</f>
        <v/>
      </c>
      <c r="AE36">
        <f>IF(AD36="","Unknown",IF(AD36&gt;=3.5,"Yes","No"))</f>
        <v/>
      </c>
      <c r="AF36">
        <f>IF(AC36="At Risk",IF(M36&lt;3,"Improve teaching clarity",IF(O36&lt;3,"Increase student interaction",IF(P36&gt;=4,"Reduce perceived difficulty with examples",IF(W36&gt;48,"Improve response time","Review student feedback")))),"Maintain current approach")</f>
        <v/>
      </c>
      <c r="AG36">
        <f>IF(AC36="At Risk","High",IF(T36&lt;4,"Medium","Low"))</f>
        <v/>
      </c>
    </row>
    <row r="37">
      <c r="A37" t="inlineStr">
        <is>
          <t>P006</t>
        </is>
      </c>
      <c r="B37" t="inlineStr">
        <is>
          <t>Prof. Vivek Saini</t>
        </is>
      </c>
      <c r="C37" t="inlineStr">
        <is>
          <t>Law</t>
        </is>
      </c>
      <c r="D37" t="inlineStr">
        <is>
          <t>B.A. LL.B.</t>
        </is>
      </c>
      <c r="E37" t="inlineStr">
        <is>
          <t>LL.M. (Corporate Law)</t>
        </is>
      </c>
      <c r="G37" t="inlineStr">
        <is>
          <t>LL.M.</t>
        </is>
      </c>
      <c r="H37" t="inlineStr">
        <is>
          <t>Corporate Law</t>
        </is>
      </c>
      <c r="I37" t="inlineStr">
        <is>
          <t>Cyber Law</t>
        </is>
      </c>
      <c r="J37" t="inlineStr">
        <is>
          <t>IPR</t>
        </is>
      </c>
      <c r="K37" t="inlineStr">
        <is>
          <t>2nd</t>
        </is>
      </c>
      <c r="L37" t="inlineStr">
        <is>
          <t>AI &amp; DS</t>
        </is>
      </c>
      <c r="M37" t="n">
        <v>4</v>
      </c>
      <c r="N37" t="n">
        <v>3</v>
      </c>
      <c r="O37" t="n">
        <v>5</v>
      </c>
      <c r="P37" t="n">
        <v>3</v>
      </c>
      <c r="Q37" t="n">
        <v>4</v>
      </c>
      <c r="R37" t="inlineStr">
        <is>
          <t>Yes</t>
        </is>
      </c>
      <c r="S37" t="inlineStr">
        <is>
          <t>Explains concepts clearly.</t>
        </is>
      </c>
      <c r="T37" t="n">
        <v>4</v>
      </c>
      <c r="U37" t="n">
        <v>26</v>
      </c>
      <c r="V37" t="n">
        <v>2</v>
      </c>
      <c r="W37" t="n">
        <v>6</v>
      </c>
      <c r="X37" t="n">
        <v>35</v>
      </c>
      <c r="Y37" t="n">
        <v>10</v>
      </c>
      <c r="Z37" t="inlineStr">
        <is>
          <t>Yes</t>
        </is>
      </c>
      <c r="AA37">
        <f>IF(T37="","Missing",IF(T37&gt;=4,"High",IF(T37&gt;=3,"Moderate","Low")))</f>
        <v/>
      </c>
      <c r="AB37">
        <f>IF(COUNT(M37:O37)&lt;3,"Insufficient data",IF(MIN(M37:O37)=M37,"Teaching",IF(MIN(M37:O37)=N37,"Knowledge",IF(MIN(M37:O37)=O37,"Interaction",IF(P37&gt;=4,"High difficulty",IF(W37&gt;48,"Slow response","Balanced"))))))</f>
        <v/>
      </c>
      <c r="AC37">
        <f>IF(OR(T37&lt;3,P37&gt;=4,W37&gt;48),"At Risk","Stable")</f>
        <v/>
      </c>
      <c r="AD37">
        <f>IF(COUNT(M37:O37)&lt;3,"",ROUND((M37*0.30+N37*0.25+O37*0.25+(6-P37)*0.10+IF(W37&lt;=24,5,IF(W37&lt;=48,3,1))*0.10),2))</f>
        <v/>
      </c>
      <c r="AE37">
        <f>IF(AD37="","Unknown",IF(AD37&gt;=3.5,"Yes","No"))</f>
        <v/>
      </c>
      <c r="AF37">
        <f>IF(AC37="At Risk",IF(M37&lt;3,"Improve teaching clarity",IF(O37&lt;3,"Increase student interaction",IF(P37&gt;=4,"Reduce perceived difficulty with examples",IF(W37&gt;48,"Improve response time","Review student feedback")))),"Maintain current approach")</f>
        <v/>
      </c>
      <c r="AG37">
        <f>IF(AC37="At Risk","High",IF(T37&lt;4,"Medium","Low"))</f>
        <v/>
      </c>
    </row>
    <row r="38">
      <c r="A38" t="inlineStr">
        <is>
          <t>P007</t>
        </is>
      </c>
      <c r="B38" t="inlineStr">
        <is>
          <t>Dr. Ritu Joshi</t>
        </is>
      </c>
      <c r="C38" t="inlineStr">
        <is>
          <t>Liberal Studies</t>
        </is>
      </c>
      <c r="D38" t="inlineStr">
        <is>
          <t>B.A. (Psychology)</t>
        </is>
      </c>
      <c r="E38" t="inlineStr">
        <is>
          <t>M.A. (Psychology)</t>
        </is>
      </c>
      <c r="F38" t="inlineStr">
        <is>
          <t>Ph.D. in Psychology</t>
        </is>
      </c>
      <c r="G38" t="inlineStr">
        <is>
          <t>Ph.D.</t>
        </is>
      </c>
      <c r="H38" t="inlineStr">
        <is>
          <t>Psychology</t>
        </is>
      </c>
      <c r="I38" t="inlineStr">
        <is>
          <t>Research Methodology</t>
        </is>
      </c>
      <c r="J38" t="inlineStr">
        <is>
          <t>Personality Development</t>
        </is>
      </c>
      <c r="K38" t="inlineStr">
        <is>
          <t>3rd</t>
        </is>
      </c>
      <c r="L38" t="inlineStr">
        <is>
          <t>AI &amp; DS</t>
        </is>
      </c>
      <c r="M38" t="n">
        <v>2</v>
      </c>
      <c r="N38" t="n">
        <v>2</v>
      </c>
      <c r="O38" t="n">
        <v>3</v>
      </c>
      <c r="P38" t="n">
        <v>1</v>
      </c>
      <c r="Q38" t="n">
        <v>3</v>
      </c>
      <c r="R38" t="inlineStr">
        <is>
          <t>No</t>
        </is>
      </c>
      <c r="S38" t="inlineStr">
        <is>
          <t>Very supportive during class.</t>
        </is>
      </c>
      <c r="T38" t="n">
        <v>2.33</v>
      </c>
      <c r="U38" t="n">
        <v>33</v>
      </c>
      <c r="V38" t="n">
        <v>2</v>
      </c>
      <c r="W38" t="n">
        <v>24</v>
      </c>
      <c r="X38" t="n">
        <v>12</v>
      </c>
      <c r="Y38" t="n">
        <v>7</v>
      </c>
      <c r="Z38" t="inlineStr">
        <is>
          <t>Yes</t>
        </is>
      </c>
      <c r="AA38">
        <f>IF(T38="","Missing",IF(T38&gt;=4,"High",IF(T38&gt;=3,"Moderate","Low")))</f>
        <v/>
      </c>
      <c r="AB38">
        <f>IF(COUNT(M38:O38)&lt;3,"Insufficient data",IF(MIN(M38:O38)=M38,"Teaching",IF(MIN(M38:O38)=N38,"Knowledge",IF(MIN(M38:O38)=O38,"Interaction",IF(P38&gt;=4,"High difficulty",IF(W38&gt;48,"Slow response","Balanced"))))))</f>
        <v/>
      </c>
      <c r="AC38">
        <f>IF(OR(T38&lt;3,P38&gt;=4,W38&gt;48),"At Risk","Stable")</f>
        <v/>
      </c>
      <c r="AD38">
        <f>IF(COUNT(M38:O38)&lt;3,"",ROUND((M38*0.30+N38*0.25+O38*0.25+(6-P38)*0.10+IF(W38&lt;=24,5,IF(W38&lt;=48,3,1))*0.10),2))</f>
        <v/>
      </c>
      <c r="AE38">
        <f>IF(AD38="","Unknown",IF(AD38&gt;=3.5,"Yes","No"))</f>
        <v/>
      </c>
      <c r="AF38">
        <f>IF(AC38="At Risk",IF(M38&lt;3,"Improve teaching clarity",IF(O38&lt;3,"Increase student interaction",IF(P38&gt;=4,"Reduce perceived difficulty with examples",IF(W38&gt;48,"Improve response time","Review student feedback")))),"Maintain current approach")</f>
        <v/>
      </c>
      <c r="AG38">
        <f>IF(AC38="At Risk","High",IF(T38&lt;4,"Medium","Low"))</f>
        <v/>
      </c>
    </row>
    <row r="39">
      <c r="A39" t="inlineStr">
        <is>
          <t>P008</t>
        </is>
      </c>
      <c r="B39" t="inlineStr">
        <is>
          <t>Prof. Karan Bhatia</t>
        </is>
      </c>
      <c r="C39" t="inlineStr">
        <is>
          <t>Liberal Studies</t>
        </is>
      </c>
      <c r="D39" t="inlineStr">
        <is>
          <t>B.A. (Sociology)</t>
        </is>
      </c>
      <c r="E39" t="inlineStr">
        <is>
          <t>M.A. (Sociology)</t>
        </is>
      </c>
      <c r="G39" t="inlineStr">
        <is>
          <t>M.A.</t>
        </is>
      </c>
      <c r="H39" t="inlineStr">
        <is>
          <t>Sociology</t>
        </is>
      </c>
      <c r="I39" t="inlineStr">
        <is>
          <t>Critical Thinking</t>
        </is>
      </c>
      <c r="J39" t="inlineStr">
        <is>
          <t>Communication Skills</t>
        </is>
      </c>
      <c r="K39" t="inlineStr">
        <is>
          <t>2nd</t>
        </is>
      </c>
      <c r="L39" t="inlineStr">
        <is>
          <t>Law</t>
        </is>
      </c>
      <c r="M39" t="n">
        <v>2</v>
      </c>
      <c r="N39" t="n">
        <v>2</v>
      </c>
      <c r="O39" t="n">
        <v>2</v>
      </c>
      <c r="P39" t="n">
        <v>5</v>
      </c>
      <c r="Q39" t="n">
        <v>1</v>
      </c>
      <c r="R39" t="inlineStr">
        <is>
          <t>No</t>
        </is>
      </c>
      <c r="S39" t="inlineStr">
        <is>
          <t>Explains concepts clearly.</t>
        </is>
      </c>
      <c r="T39" t="n">
        <v>2</v>
      </c>
      <c r="U39" t="n">
        <v>27</v>
      </c>
      <c r="V39" t="n">
        <v>2</v>
      </c>
      <c r="W39" t="n">
        <v>48</v>
      </c>
      <c r="X39" t="n">
        <v>14</v>
      </c>
      <c r="Y39" t="n">
        <v>2</v>
      </c>
      <c r="Z39" t="inlineStr">
        <is>
          <t>Yes</t>
        </is>
      </c>
      <c r="AA39">
        <f>IF(T39="","Missing",IF(T39&gt;=4,"High",IF(T39&gt;=3,"Moderate","Low")))</f>
        <v/>
      </c>
      <c r="AB39">
        <f>IF(COUNT(M39:O39)&lt;3,"Insufficient data",IF(MIN(M39:O39)=M39,"Teaching",IF(MIN(M39:O39)=N39,"Knowledge",IF(MIN(M39:O39)=O39,"Interaction",IF(P39&gt;=4,"High difficulty",IF(W39&gt;48,"Slow response","Balanced"))))))</f>
        <v/>
      </c>
      <c r="AC39">
        <f>IF(OR(T39&lt;3,P39&gt;=4,W39&gt;48),"At Risk","Stable")</f>
        <v/>
      </c>
      <c r="AD39">
        <f>IF(COUNT(M39:O39)&lt;3,"",ROUND((M39*0.30+N39*0.25+O39*0.25+(6-P39)*0.10+IF(W39&lt;=24,5,IF(W39&lt;=48,3,1))*0.10),2))</f>
        <v/>
      </c>
      <c r="AE39">
        <f>IF(AD39="","Unknown",IF(AD39&gt;=3.5,"Yes","No"))</f>
        <v/>
      </c>
      <c r="AF39">
        <f>IF(AC39="At Risk",IF(M39&lt;3,"Improve teaching clarity",IF(O39&lt;3,"Increase student interaction",IF(P39&gt;=4,"Reduce perceived difficulty with examples",IF(W39&gt;48,"Improve response time","Review student feedback")))),"Maintain current approach")</f>
        <v/>
      </c>
      <c r="AG39">
        <f>IF(AC39="At Risk","High",IF(T39&lt;4,"Medium","Low"))</f>
        <v/>
      </c>
    </row>
    <row r="40">
      <c r="A40" t="inlineStr">
        <is>
          <t>P009</t>
        </is>
      </c>
      <c r="B40" t="inlineStr">
        <is>
          <t>Dr. Priya Nanda</t>
        </is>
      </c>
      <c r="C40" t="inlineStr">
        <is>
          <t>Computer Science</t>
        </is>
      </c>
      <c r="D40" t="inlineStr">
        <is>
          <t>B.Tech (Computer Science)</t>
        </is>
      </c>
      <c r="E40" t="inlineStr">
        <is>
          <t>M.Tech (Machine Learning)</t>
        </is>
      </c>
      <c r="F40" t="inlineStr">
        <is>
          <t>Ph.D. in Computer Science</t>
        </is>
      </c>
      <c r="G40" t="inlineStr">
        <is>
          <t>Ph.D.</t>
        </is>
      </c>
      <c r="H40" t="inlineStr">
        <is>
          <t>Machine Learning</t>
        </is>
      </c>
      <c r="I40" t="inlineStr">
        <is>
          <t>Artificial Intelligence</t>
        </is>
      </c>
      <c r="J40" t="inlineStr">
        <is>
          <t>Data Mining</t>
        </is>
      </c>
      <c r="K40" t="inlineStr">
        <is>
          <t>2nd</t>
        </is>
      </c>
      <c r="L40" t="inlineStr">
        <is>
          <t>Business</t>
        </is>
      </c>
      <c r="M40" t="n">
        <v>5</v>
      </c>
      <c r="N40" t="n">
        <v>5</v>
      </c>
      <c r="O40" t="n">
        <v>5</v>
      </c>
      <c r="P40" t="n">
        <v>5</v>
      </c>
      <c r="Q40" t="n">
        <v>2</v>
      </c>
      <c r="R40" t="inlineStr">
        <is>
          <t>Yes</t>
        </is>
      </c>
      <c r="S40" t="inlineStr">
        <is>
          <t>Explains concepts clearly.</t>
        </is>
      </c>
      <c r="T40" t="n">
        <v>5</v>
      </c>
      <c r="U40" t="n">
        <v>40</v>
      </c>
      <c r="V40" t="n">
        <v>4</v>
      </c>
      <c r="W40" t="n">
        <v>48</v>
      </c>
      <c r="X40" t="n">
        <v>27</v>
      </c>
      <c r="Y40" t="n">
        <v>4</v>
      </c>
      <c r="Z40" t="inlineStr">
        <is>
          <t>Yes</t>
        </is>
      </c>
      <c r="AA40">
        <f>IF(T40="","Missing",IF(T40&gt;=4,"High",IF(T40&gt;=3,"Moderate","Low")))</f>
        <v/>
      </c>
      <c r="AB40">
        <f>IF(COUNT(M40:O40)&lt;3,"Insufficient data",IF(MIN(M40:O40)=M40,"Teaching",IF(MIN(M40:O40)=N40,"Knowledge",IF(MIN(M40:O40)=O40,"Interaction",IF(P40&gt;=4,"High difficulty",IF(W40&gt;48,"Slow response","Balanced"))))))</f>
        <v/>
      </c>
      <c r="AC40">
        <f>IF(OR(T40&lt;3,P40&gt;=4,W40&gt;48),"At Risk","Stable")</f>
        <v/>
      </c>
      <c r="AD40">
        <f>IF(COUNT(M40:O40)&lt;3,"",ROUND((M40*0.30+N40*0.25+O40*0.25+(6-P40)*0.10+IF(W40&lt;=24,5,IF(W40&lt;=48,3,1))*0.10),2))</f>
        <v/>
      </c>
      <c r="AE40">
        <f>IF(AD40="","Unknown",IF(AD40&gt;=3.5,"Yes","No"))</f>
        <v/>
      </c>
      <c r="AF40">
        <f>IF(AC40="At Risk",IF(M40&lt;3,"Improve teaching clarity",IF(O40&lt;3,"Increase student interaction",IF(P40&gt;=4,"Reduce perceived difficulty with examples",IF(W40&gt;48,"Improve response time","Review student feedback")))),"Maintain current approach")</f>
        <v/>
      </c>
      <c r="AG40">
        <f>IF(AC40="At Risk","High",IF(T40&lt;4,"Medium","Low"))</f>
        <v/>
      </c>
    </row>
    <row r="41">
      <c r="A41" t="inlineStr">
        <is>
          <t>P010</t>
        </is>
      </c>
      <c r="B41" t="inlineStr">
        <is>
          <t>Dr. Mohit Arora</t>
        </is>
      </c>
      <c r="C41" t="inlineStr">
        <is>
          <t>Business</t>
        </is>
      </c>
      <c r="D41" t="inlineStr">
        <is>
          <t>BBA</t>
        </is>
      </c>
      <c r="E41" t="inlineStr">
        <is>
          <t>MBA (Business Analytics)</t>
        </is>
      </c>
      <c r="G41" t="inlineStr">
        <is>
          <t>MBA</t>
        </is>
      </c>
      <c r="H41" t="inlineStr">
        <is>
          <t>Business Analytics</t>
        </is>
      </c>
      <c r="I41" t="inlineStr">
        <is>
          <t>Operations Management</t>
        </is>
      </c>
      <c r="J41" t="inlineStr">
        <is>
          <t>Excel for Business</t>
        </is>
      </c>
      <c r="K41" t="inlineStr">
        <is>
          <t>2nd</t>
        </is>
      </c>
      <c r="L41" t="inlineStr">
        <is>
          <t>AI &amp; DS</t>
        </is>
      </c>
      <c r="M41" t="n">
        <v>3</v>
      </c>
      <c r="N41" t="n">
        <v>2</v>
      </c>
      <c r="O41" t="n">
        <v>2</v>
      </c>
      <c r="P41" t="n">
        <v>3</v>
      </c>
      <c r="Q41" t="n">
        <v>1</v>
      </c>
      <c r="R41" t="inlineStr">
        <is>
          <t>No</t>
        </is>
      </c>
      <c r="S41" t="inlineStr">
        <is>
          <t>Highly recommended.</t>
        </is>
      </c>
      <c r="T41" t="n">
        <v>2.33</v>
      </c>
      <c r="U41" t="n">
        <v>35</v>
      </c>
      <c r="V41" t="n">
        <v>0</v>
      </c>
      <c r="W41" t="n">
        <v>48</v>
      </c>
      <c r="X41" t="n">
        <v>1</v>
      </c>
      <c r="Y41" t="n">
        <v>7</v>
      </c>
      <c r="Z41" t="inlineStr">
        <is>
          <t>No</t>
        </is>
      </c>
      <c r="AA41">
        <f>IF(T41="","Missing",IF(T41&gt;=4,"High",IF(T41&gt;=3,"Moderate","Low")))</f>
        <v/>
      </c>
      <c r="AB41">
        <f>IF(COUNT(M41:O41)&lt;3,"Insufficient data",IF(MIN(M41:O41)=M41,"Teaching",IF(MIN(M41:O41)=N41,"Knowledge",IF(MIN(M41:O41)=O41,"Interaction",IF(P41&gt;=4,"High difficulty",IF(W41&gt;48,"Slow response","Balanced"))))))</f>
        <v/>
      </c>
      <c r="AC41">
        <f>IF(OR(T41&lt;3,P41&gt;=4,W41&gt;48),"At Risk","Stable")</f>
        <v/>
      </c>
      <c r="AD41">
        <f>IF(COUNT(M41:O41)&lt;3,"",ROUND((M41*0.30+N41*0.25+O41*0.25+(6-P41)*0.10+IF(W41&lt;=24,5,IF(W41&lt;=48,3,1))*0.10),2))</f>
        <v/>
      </c>
      <c r="AE41">
        <f>IF(AD41="","Unknown",IF(AD41&gt;=3.5,"Yes","No"))</f>
        <v/>
      </c>
      <c r="AF41">
        <f>IF(AC41="At Risk",IF(M41&lt;3,"Improve teaching clarity",IF(O41&lt;3,"Increase student interaction",IF(P41&gt;=4,"Reduce perceived difficulty with examples",IF(W41&gt;48,"Improve response time","Review student feedback")))),"Maintain current approach")</f>
        <v/>
      </c>
      <c r="AG41">
        <f>IF(AC41="At Risk","High",IF(T41&lt;4,"Medium","Low"))</f>
        <v/>
      </c>
    </row>
    <row r="42">
      <c r="A42" t="inlineStr">
        <is>
          <t>P001</t>
        </is>
      </c>
      <c r="B42" t="inlineStr">
        <is>
          <t>Dr. Aditi Sharma</t>
        </is>
      </c>
      <c r="C42" t="inlineStr">
        <is>
          <t>Computer Science</t>
        </is>
      </c>
      <c r="D42" t="inlineStr">
        <is>
          <t>B.Tech (Computer Science)</t>
        </is>
      </c>
      <c r="E42" t="inlineStr">
        <is>
          <t>M.Tech (Computer Science &amp; Engineering)</t>
        </is>
      </c>
      <c r="F42" t="inlineStr">
        <is>
          <t>Ph.D. in Data Science</t>
        </is>
      </c>
      <c r="G42" t="inlineStr">
        <is>
          <t>Ph.D.</t>
        </is>
      </c>
      <c r="H42" t="inlineStr">
        <is>
          <t>Data Science</t>
        </is>
      </c>
      <c r="I42" t="inlineStr">
        <is>
          <t>Python Programming</t>
        </is>
      </c>
      <c r="J42" t="inlineStr">
        <is>
          <t>Data Visualization</t>
        </is>
      </c>
      <c r="K42" t="inlineStr">
        <is>
          <t>2nd</t>
        </is>
      </c>
      <c r="L42" t="inlineStr">
        <is>
          <t>ECE</t>
        </is>
      </c>
      <c r="M42" t="n">
        <v>4</v>
      </c>
      <c r="N42" t="n">
        <v>3</v>
      </c>
      <c r="O42" t="n">
        <v>5</v>
      </c>
      <c r="P42" t="n">
        <v>5</v>
      </c>
      <c r="Q42" t="n">
        <v>5</v>
      </c>
      <c r="R42" t="inlineStr">
        <is>
          <t>Yes</t>
        </is>
      </c>
      <c r="S42" t="inlineStr">
        <is>
          <t>Very supportive during class.</t>
        </is>
      </c>
      <c r="T42" t="n">
        <v>4</v>
      </c>
      <c r="U42" t="n">
        <v>39</v>
      </c>
      <c r="V42" t="n">
        <v>4</v>
      </c>
      <c r="W42" t="n">
        <v>2</v>
      </c>
      <c r="X42" t="n">
        <v>30</v>
      </c>
      <c r="Y42" t="n">
        <v>8</v>
      </c>
      <c r="Z42" t="inlineStr">
        <is>
          <t>Yes</t>
        </is>
      </c>
      <c r="AA42">
        <f>IF(T42="","Missing",IF(T42&gt;=4,"High",IF(T42&gt;=3,"Moderate","Low")))</f>
        <v/>
      </c>
      <c r="AB42">
        <f>IF(COUNT(M42:O42)&lt;3,"Insufficient data",IF(MIN(M42:O42)=M42,"Teaching",IF(MIN(M42:O42)=N42,"Knowledge",IF(MIN(M42:O42)=O42,"Interaction",IF(P42&gt;=4,"High difficulty",IF(W42&gt;48,"Slow response","Balanced"))))))</f>
        <v/>
      </c>
      <c r="AC42">
        <f>IF(OR(T42&lt;3,P42&gt;=4,W42&gt;48),"At Risk","Stable")</f>
        <v/>
      </c>
      <c r="AD42">
        <f>IF(COUNT(M42:O42)&lt;3,"",ROUND((M42*0.30+N42*0.25+O42*0.25+(6-P42)*0.10+IF(W42&lt;=24,5,IF(W42&lt;=48,3,1))*0.10),2))</f>
        <v/>
      </c>
      <c r="AE42">
        <f>IF(AD42="","Unknown",IF(AD42&gt;=3.5,"Yes","No"))</f>
        <v/>
      </c>
      <c r="AF42">
        <f>IF(AC42="At Risk",IF(M42&lt;3,"Improve teaching clarity",IF(O42&lt;3,"Increase student interaction",IF(P42&gt;=4,"Reduce perceived difficulty with examples",IF(W42&gt;48,"Improve response time","Review student feedback")))),"Maintain current approach")</f>
        <v/>
      </c>
      <c r="AG42">
        <f>IF(AC42="At Risk","High",IF(T42&lt;4,"Medium","Low"))</f>
        <v/>
      </c>
    </row>
    <row r="43">
      <c r="A43" t="inlineStr">
        <is>
          <t>P002</t>
        </is>
      </c>
      <c r="B43" t="inlineStr">
        <is>
          <t>Dr. Rahul Mehta</t>
        </is>
      </c>
      <c r="C43" t="inlineStr">
        <is>
          <t>Computer Science</t>
        </is>
      </c>
      <c r="D43" t="inlineStr">
        <is>
          <t>B.Tech (Information Technology)</t>
        </is>
      </c>
      <c r="E43" t="inlineStr">
        <is>
          <t>M.Tech (Computer Science)</t>
        </is>
      </c>
      <c r="F43" t="inlineStr">
        <is>
          <t>Ph.D. in Artificial Intelligence</t>
        </is>
      </c>
      <c r="G43" t="inlineStr">
        <is>
          <t>Ph.D.</t>
        </is>
      </c>
      <c r="H43" t="inlineStr">
        <is>
          <t>Artificial Intelligence</t>
        </is>
      </c>
      <c r="J43" t="inlineStr">
        <is>
          <t>Computer Networks</t>
        </is>
      </c>
      <c r="K43" t="inlineStr">
        <is>
          <t>2nd</t>
        </is>
      </c>
      <c r="L43" t="inlineStr">
        <is>
          <t>ECE</t>
        </is>
      </c>
      <c r="M43" t="n">
        <v>4</v>
      </c>
      <c r="N43" t="n">
        <v>3</v>
      </c>
      <c r="O43" t="n">
        <v>3</v>
      </c>
      <c r="P43" t="n">
        <v>4</v>
      </c>
      <c r="Q43" t="n">
        <v>4</v>
      </c>
      <c r="R43" t="inlineStr">
        <is>
          <t>No</t>
        </is>
      </c>
      <c r="S43" t="inlineStr">
        <is>
          <t>Very supportive during class.</t>
        </is>
      </c>
      <c r="T43" t="n">
        <v>3.33</v>
      </c>
      <c r="U43" t="n">
        <v>33</v>
      </c>
      <c r="V43" t="n">
        <v>5</v>
      </c>
      <c r="W43" t="n">
        <v>6</v>
      </c>
      <c r="X43" t="n">
        <v>2</v>
      </c>
      <c r="Y43" t="n">
        <v>6</v>
      </c>
      <c r="Z43" t="inlineStr">
        <is>
          <t>Yes</t>
        </is>
      </c>
      <c r="AA43">
        <f>IF(T43="","Missing",IF(T43&gt;=4,"High",IF(T43&gt;=3,"Moderate","Low")))</f>
        <v/>
      </c>
      <c r="AB43">
        <f>IF(COUNT(M43:O43)&lt;3,"Insufficient data",IF(MIN(M43:O43)=M43,"Teaching",IF(MIN(M43:O43)=N43,"Knowledge",IF(MIN(M43:O43)=O43,"Interaction",IF(P43&gt;=4,"High difficulty",IF(W43&gt;48,"Slow response","Balanced"))))))</f>
        <v/>
      </c>
      <c r="AC43">
        <f>IF(OR(T43&lt;3,P43&gt;=4,W43&gt;48),"At Risk","Stable")</f>
        <v/>
      </c>
      <c r="AD43">
        <f>IF(COUNT(M43:O43)&lt;3,"",ROUND((M43*0.30+N43*0.25+O43*0.25+(6-P43)*0.10+IF(W43&lt;=24,5,IF(W43&lt;=48,3,1))*0.10),2))</f>
        <v/>
      </c>
      <c r="AE43">
        <f>IF(AD43="","Unknown",IF(AD43&gt;=3.5,"Yes","No"))</f>
        <v/>
      </c>
      <c r="AF43">
        <f>IF(AC43="At Risk",IF(M43&lt;3,"Improve teaching clarity",IF(O43&lt;3,"Increase student interaction",IF(P43&gt;=4,"Reduce perceived difficulty with examples",IF(W43&gt;48,"Improve response time","Review student feedback")))),"Maintain current approach")</f>
        <v/>
      </c>
      <c r="AG43">
        <f>IF(AC43="At Risk","High",IF(T43&lt;4,"Medium","Low"))</f>
        <v/>
      </c>
    </row>
    <row r="44">
      <c r="A44" t="inlineStr">
        <is>
          <t>P003</t>
        </is>
      </c>
      <c r="B44" t="inlineStr">
        <is>
          <t>Prof. Neha Kapoor</t>
        </is>
      </c>
      <c r="C44" t="inlineStr">
        <is>
          <t>Business</t>
        </is>
      </c>
      <c r="D44" t="inlineStr">
        <is>
          <t>BBA</t>
        </is>
      </c>
      <c r="E44" t="inlineStr">
        <is>
          <t>MBA (Marketing)</t>
        </is>
      </c>
      <c r="F44" t="inlineStr">
        <is>
          <t>Ph.D. in Marketing Management</t>
        </is>
      </c>
      <c r="G44" t="inlineStr">
        <is>
          <t>Ph.D.</t>
        </is>
      </c>
      <c r="H44" t="inlineStr">
        <is>
          <t>Marketing</t>
        </is>
      </c>
      <c r="I44" t="inlineStr">
        <is>
          <t>Consumer Behaviour</t>
        </is>
      </c>
      <c r="J44" t="inlineStr">
        <is>
          <t>Digital Marketing</t>
        </is>
      </c>
      <c r="K44" t="inlineStr">
        <is>
          <t>4th</t>
        </is>
      </c>
      <c r="L44" t="inlineStr">
        <is>
          <t>ECE</t>
        </is>
      </c>
      <c r="M44" t="n">
        <v>3</v>
      </c>
      <c r="N44" t="n">
        <v>3</v>
      </c>
      <c r="O44" t="n">
        <v>4</v>
      </c>
      <c r="P44" t="n">
        <v>3</v>
      </c>
      <c r="Q44" t="n">
        <v>5</v>
      </c>
      <c r="R44" t="inlineStr">
        <is>
          <t>Yes</t>
        </is>
      </c>
      <c r="S44" t="inlineStr">
        <is>
          <t>Explains concepts clearly.</t>
        </is>
      </c>
      <c r="T44" t="n">
        <v>3.33</v>
      </c>
      <c r="U44" t="n">
        <v>33</v>
      </c>
      <c r="V44" t="n">
        <v>0</v>
      </c>
      <c r="W44" t="n">
        <v>12</v>
      </c>
      <c r="X44" t="n">
        <v>17</v>
      </c>
      <c r="Y44" t="n">
        <v>3</v>
      </c>
      <c r="Z44" t="inlineStr">
        <is>
          <t>Yes</t>
        </is>
      </c>
      <c r="AA44">
        <f>IF(T44="","Missing",IF(T44&gt;=4,"High",IF(T44&gt;=3,"Moderate","Low")))</f>
        <v/>
      </c>
      <c r="AB44">
        <f>IF(COUNT(M44:O44)&lt;3,"Insufficient data",IF(MIN(M44:O44)=M44,"Teaching",IF(MIN(M44:O44)=N44,"Knowledge",IF(MIN(M44:O44)=O44,"Interaction",IF(P44&gt;=4,"High difficulty",IF(W44&gt;48,"Slow response","Balanced"))))))</f>
        <v/>
      </c>
      <c r="AC44">
        <f>IF(OR(T44&lt;3,P44&gt;=4,W44&gt;48),"At Risk","Stable")</f>
        <v/>
      </c>
      <c r="AD44">
        <f>IF(COUNT(M44:O44)&lt;3,"",ROUND((M44*0.30+N44*0.25+O44*0.25+(6-P44)*0.10+IF(W44&lt;=24,5,IF(W44&lt;=48,3,1))*0.10),2))</f>
        <v/>
      </c>
      <c r="AE44">
        <f>IF(AD44="","Unknown",IF(AD44&gt;=3.5,"Yes","No"))</f>
        <v/>
      </c>
      <c r="AF44">
        <f>IF(AC44="At Risk",IF(M44&lt;3,"Improve teaching clarity",IF(O44&lt;3,"Increase student interaction",IF(P44&gt;=4,"Reduce perceived difficulty with examples",IF(W44&gt;48,"Improve response time","Review student feedback")))),"Maintain current approach")</f>
        <v/>
      </c>
      <c r="AG44">
        <f>IF(AC44="At Risk","High",IF(T44&lt;4,"Medium","Low"))</f>
        <v/>
      </c>
    </row>
    <row r="45">
      <c r="A45" t="inlineStr">
        <is>
          <t>P004</t>
        </is>
      </c>
      <c r="B45" t="inlineStr">
        <is>
          <t>Dr. Arjun Verma</t>
        </is>
      </c>
      <c r="C45" t="inlineStr">
        <is>
          <t>Business</t>
        </is>
      </c>
      <c r="D45" t="inlineStr">
        <is>
          <t>B.Com</t>
        </is>
      </c>
      <c r="E45" t="inlineStr">
        <is>
          <t>MBA (Finance)</t>
        </is>
      </c>
      <c r="F45" t="inlineStr">
        <is>
          <t>Ph.D. in Finance</t>
        </is>
      </c>
      <c r="G45" t="inlineStr">
        <is>
          <t>Ph.D.</t>
        </is>
      </c>
      <c r="H45" t="inlineStr">
        <is>
          <t>Finance</t>
        </is>
      </c>
      <c r="I45" t="inlineStr">
        <is>
          <t>Investment Analysis</t>
        </is>
      </c>
      <c r="J45" t="inlineStr">
        <is>
          <t>Business Statistics</t>
        </is>
      </c>
      <c r="K45" t="inlineStr">
        <is>
          <t>3rd</t>
        </is>
      </c>
      <c r="L45" t="inlineStr">
        <is>
          <t>Law</t>
        </is>
      </c>
      <c r="M45" t="n">
        <v>5</v>
      </c>
      <c r="N45" t="n">
        <v>5</v>
      </c>
      <c r="O45" t="n">
        <v>4</v>
      </c>
      <c r="P45" t="n">
        <v>4</v>
      </c>
      <c r="Q45" t="n">
        <v>1</v>
      </c>
      <c r="R45" t="inlineStr">
        <is>
          <t>Yes</t>
        </is>
      </c>
      <c r="S45" t="inlineStr">
        <is>
          <t>Too fast sometimes.</t>
        </is>
      </c>
      <c r="T45" t="n">
        <v>4.67</v>
      </c>
      <c r="U45" t="n">
        <v>24</v>
      </c>
      <c r="V45" t="n">
        <v>2</v>
      </c>
      <c r="W45" t="n">
        <v>2</v>
      </c>
      <c r="X45" t="n">
        <v>30</v>
      </c>
      <c r="Y45" t="n">
        <v>0</v>
      </c>
      <c r="Z45" t="inlineStr">
        <is>
          <t>No</t>
        </is>
      </c>
      <c r="AA45">
        <f>IF(T45="","Missing",IF(T45&gt;=4,"High",IF(T45&gt;=3,"Moderate","Low")))</f>
        <v/>
      </c>
      <c r="AB45">
        <f>IF(COUNT(M45:O45)&lt;3,"Insufficient data",IF(MIN(M45:O45)=M45,"Teaching",IF(MIN(M45:O45)=N45,"Knowledge",IF(MIN(M45:O45)=O45,"Interaction",IF(P45&gt;=4,"High difficulty",IF(W45&gt;48,"Slow response","Balanced"))))))</f>
        <v/>
      </c>
      <c r="AC45">
        <f>IF(OR(T45&lt;3,P45&gt;=4,W45&gt;48),"At Risk","Stable")</f>
        <v/>
      </c>
      <c r="AD45">
        <f>IF(COUNT(M45:O45)&lt;3,"",ROUND((M45*0.30+N45*0.25+O45*0.25+(6-P45)*0.10+IF(W45&lt;=24,5,IF(W45&lt;=48,3,1))*0.10),2))</f>
        <v/>
      </c>
      <c r="AE45">
        <f>IF(AD45="","Unknown",IF(AD45&gt;=3.5,"Yes","No"))</f>
        <v/>
      </c>
      <c r="AF45">
        <f>IF(AC45="At Risk",IF(M45&lt;3,"Improve teaching clarity",IF(O45&lt;3,"Increase student interaction",IF(P45&gt;=4,"Reduce perceived difficulty with examples",IF(W45&gt;48,"Improve response time","Review student feedback")))),"Maintain current approach")</f>
        <v/>
      </c>
      <c r="AG45">
        <f>IF(AC45="At Risk","High",IF(T45&lt;4,"Medium","Low"))</f>
        <v/>
      </c>
    </row>
    <row r="46">
      <c r="A46" t="inlineStr">
        <is>
          <t>P005</t>
        </is>
      </c>
      <c r="B46" t="inlineStr">
        <is>
          <t>Dr. Simran Kaur</t>
        </is>
      </c>
      <c r="C46" t="inlineStr">
        <is>
          <t>Law</t>
        </is>
      </c>
      <c r="D46" t="inlineStr">
        <is>
          <t>B.A. LL.B. (Hons.)</t>
        </is>
      </c>
      <c r="E46" t="inlineStr">
        <is>
          <t>LL.M. (Constitutional Law)</t>
        </is>
      </c>
      <c r="F46" t="inlineStr">
        <is>
          <t>Ph.D. in Constitutional Law</t>
        </is>
      </c>
      <c r="G46" t="inlineStr">
        <is>
          <t>Ph.D.</t>
        </is>
      </c>
      <c r="H46" t="inlineStr">
        <is>
          <t>Constitutional Law</t>
        </is>
      </c>
      <c r="I46" t="inlineStr">
        <is>
          <t>Legal Research</t>
        </is>
      </c>
      <c r="J46" t="inlineStr">
        <is>
          <t>Jurisprudence</t>
        </is>
      </c>
      <c r="K46" t="inlineStr">
        <is>
          <t>3rd</t>
        </is>
      </c>
      <c r="L46" t="inlineStr">
        <is>
          <t>Law</t>
        </is>
      </c>
      <c r="M46" t="n">
        <v>5</v>
      </c>
      <c r="N46" t="n">
        <v>4</v>
      </c>
      <c r="O46" t="n">
        <v>5</v>
      </c>
      <c r="P46" t="n">
        <v>2</v>
      </c>
      <c r="Q46" t="n">
        <v>2</v>
      </c>
      <c r="R46" t="inlineStr">
        <is>
          <t>Yes</t>
        </is>
      </c>
      <c r="S46" t="inlineStr">
        <is>
          <t>Very supportive during class.</t>
        </is>
      </c>
      <c r="T46" t="n">
        <v>4.67</v>
      </c>
      <c r="U46" t="n">
        <v>36</v>
      </c>
      <c r="V46" t="n">
        <v>0</v>
      </c>
      <c r="W46" t="n">
        <v>4</v>
      </c>
      <c r="X46" t="n">
        <v>33</v>
      </c>
      <c r="Y46" t="n">
        <v>8</v>
      </c>
      <c r="Z46" t="inlineStr">
        <is>
          <t>No</t>
        </is>
      </c>
      <c r="AA46">
        <f>IF(T46="","Missing",IF(T46&gt;=4,"High",IF(T46&gt;=3,"Moderate","Low")))</f>
        <v/>
      </c>
      <c r="AB46">
        <f>IF(COUNT(M46:O46)&lt;3,"Insufficient data",IF(MIN(M46:O46)=M46,"Teaching",IF(MIN(M46:O46)=N46,"Knowledge",IF(MIN(M46:O46)=O46,"Interaction",IF(P46&gt;=4,"High difficulty",IF(W46&gt;48,"Slow response","Balanced"))))))</f>
        <v/>
      </c>
      <c r="AC46">
        <f>IF(OR(T46&lt;3,P46&gt;=4,W46&gt;48),"At Risk","Stable")</f>
        <v/>
      </c>
      <c r="AD46">
        <f>IF(COUNT(M46:O46)&lt;3,"",ROUND((M46*0.30+N46*0.25+O46*0.25+(6-P46)*0.10+IF(W46&lt;=24,5,IF(W46&lt;=48,3,1))*0.10),2))</f>
        <v/>
      </c>
      <c r="AE46">
        <f>IF(AD46="","Unknown",IF(AD46&gt;=3.5,"Yes","No"))</f>
        <v/>
      </c>
      <c r="AF46">
        <f>IF(AC46="At Risk",IF(M46&lt;3,"Improve teaching clarity",IF(O46&lt;3,"Increase student interaction",IF(P46&gt;=4,"Reduce perceived difficulty with examples",IF(W46&gt;48,"Improve response time","Review student feedback")))),"Maintain current approach")</f>
        <v/>
      </c>
      <c r="AG46">
        <f>IF(AC46="At Risk","High",IF(T46&lt;4,"Medium","Low"))</f>
        <v/>
      </c>
    </row>
    <row r="47">
      <c r="A47" t="inlineStr">
        <is>
          <t>P006</t>
        </is>
      </c>
      <c r="B47" t="inlineStr">
        <is>
          <t>Prof. Vivek Saini</t>
        </is>
      </c>
      <c r="C47" t="inlineStr">
        <is>
          <t>Law</t>
        </is>
      </c>
      <c r="D47" t="inlineStr">
        <is>
          <t>B.A. LL.B.</t>
        </is>
      </c>
      <c r="E47" t="inlineStr">
        <is>
          <t>LL.M. (Corporate Law)</t>
        </is>
      </c>
      <c r="G47" t="inlineStr">
        <is>
          <t>LL.M.</t>
        </is>
      </c>
      <c r="H47" t="inlineStr">
        <is>
          <t>Corporate Law</t>
        </is>
      </c>
      <c r="I47" t="inlineStr">
        <is>
          <t>Cyber Law</t>
        </is>
      </c>
      <c r="J47" t="inlineStr">
        <is>
          <t>IPR</t>
        </is>
      </c>
      <c r="K47" t="inlineStr">
        <is>
          <t>2nd</t>
        </is>
      </c>
      <c r="L47" t="inlineStr">
        <is>
          <t>ECE</t>
        </is>
      </c>
      <c r="M47" t="n">
        <v>3</v>
      </c>
      <c r="N47" t="n">
        <v>4</v>
      </c>
      <c r="O47" t="n">
        <v>4</v>
      </c>
      <c r="P47" t="n">
        <v>3</v>
      </c>
      <c r="Q47" t="n">
        <v>2</v>
      </c>
      <c r="R47" t="inlineStr">
        <is>
          <t>Yes</t>
        </is>
      </c>
      <c r="S47" t="inlineStr">
        <is>
          <t>Highly recommended.</t>
        </is>
      </c>
      <c r="T47" t="n">
        <v>3.67</v>
      </c>
      <c r="U47" t="n">
        <v>33</v>
      </c>
      <c r="V47" t="n">
        <v>3</v>
      </c>
      <c r="W47" t="n">
        <v>2</v>
      </c>
      <c r="X47" t="n">
        <v>10</v>
      </c>
      <c r="Y47" t="n">
        <v>0</v>
      </c>
      <c r="Z47" t="inlineStr">
        <is>
          <t>No</t>
        </is>
      </c>
      <c r="AA47">
        <f>IF(T47="","Missing",IF(T47&gt;=4,"High",IF(T47&gt;=3,"Moderate","Low")))</f>
        <v/>
      </c>
      <c r="AB47">
        <f>IF(COUNT(M47:O47)&lt;3,"Insufficient data",IF(MIN(M47:O47)=M47,"Teaching",IF(MIN(M47:O47)=N47,"Knowledge",IF(MIN(M47:O47)=O47,"Interaction",IF(P47&gt;=4,"High difficulty",IF(W47&gt;48,"Slow response","Balanced"))))))</f>
        <v/>
      </c>
      <c r="AC47">
        <f>IF(OR(T47&lt;3,P47&gt;=4,W47&gt;48),"At Risk","Stable")</f>
        <v/>
      </c>
      <c r="AD47">
        <f>IF(COUNT(M47:O47)&lt;3,"",ROUND((M47*0.30+N47*0.25+O47*0.25+(6-P47)*0.10+IF(W47&lt;=24,5,IF(W47&lt;=48,3,1))*0.10),2))</f>
        <v/>
      </c>
      <c r="AE47">
        <f>IF(AD47="","Unknown",IF(AD47&gt;=3.5,"Yes","No"))</f>
        <v/>
      </c>
      <c r="AF47">
        <f>IF(AC47="At Risk",IF(M47&lt;3,"Improve teaching clarity",IF(O47&lt;3,"Increase student interaction",IF(P47&gt;=4,"Reduce perceived difficulty with examples",IF(W47&gt;48,"Improve response time","Review student feedback")))),"Maintain current approach")</f>
        <v/>
      </c>
      <c r="AG47">
        <f>IF(AC47="At Risk","High",IF(T47&lt;4,"Medium","Low"))</f>
        <v/>
      </c>
    </row>
    <row r="48">
      <c r="A48" t="inlineStr">
        <is>
          <t>P007</t>
        </is>
      </c>
      <c r="B48" t="inlineStr">
        <is>
          <t>Dr. Ritu Joshi</t>
        </is>
      </c>
      <c r="C48" t="inlineStr">
        <is>
          <t>Liberal Studies</t>
        </is>
      </c>
      <c r="D48" t="inlineStr">
        <is>
          <t>B.A. (Psychology)</t>
        </is>
      </c>
      <c r="E48" t="inlineStr">
        <is>
          <t>M.A. (Psychology)</t>
        </is>
      </c>
      <c r="F48" t="inlineStr">
        <is>
          <t>Ph.D. in Psychology</t>
        </is>
      </c>
      <c r="G48" t="inlineStr">
        <is>
          <t>Ph.D.</t>
        </is>
      </c>
      <c r="H48" t="inlineStr">
        <is>
          <t>Psychology</t>
        </is>
      </c>
      <c r="I48" t="inlineStr">
        <is>
          <t>Research Methodology</t>
        </is>
      </c>
      <c r="J48" t="inlineStr">
        <is>
          <t>Personality Development</t>
        </is>
      </c>
      <c r="K48" t="inlineStr">
        <is>
          <t>4th</t>
        </is>
      </c>
      <c r="L48" t="inlineStr">
        <is>
          <t>AI &amp; DS</t>
        </is>
      </c>
      <c r="M48" t="n">
        <v>5</v>
      </c>
      <c r="N48" t="n">
        <v>5</v>
      </c>
      <c r="O48" t="n">
        <v>4</v>
      </c>
      <c r="P48" t="n">
        <v>4</v>
      </c>
      <c r="Q48" t="n">
        <v>3</v>
      </c>
      <c r="R48" t="inlineStr">
        <is>
          <t>Yes</t>
        </is>
      </c>
      <c r="S48" t="inlineStr">
        <is>
          <t>Average teaching style.</t>
        </is>
      </c>
      <c r="T48" t="n">
        <v>4.67</v>
      </c>
      <c r="U48" t="n">
        <v>28</v>
      </c>
      <c r="V48" t="n">
        <v>0</v>
      </c>
      <c r="W48" t="n">
        <v>72</v>
      </c>
      <c r="X48" t="n">
        <v>180</v>
      </c>
      <c r="Y48" t="n">
        <v>0</v>
      </c>
      <c r="Z48" t="inlineStr">
        <is>
          <t>No</t>
        </is>
      </c>
      <c r="AA48">
        <f>IF(T48="","Missing",IF(T48&gt;=4,"High",IF(T48&gt;=3,"Moderate","Low")))</f>
        <v/>
      </c>
      <c r="AB48">
        <f>IF(COUNT(M48:O48)&lt;3,"Insufficient data",IF(MIN(M48:O48)=M48,"Teaching",IF(MIN(M48:O48)=N48,"Knowledge",IF(MIN(M48:O48)=O48,"Interaction",IF(P48&gt;=4,"High difficulty",IF(W48&gt;48,"Slow response","Balanced"))))))</f>
        <v/>
      </c>
      <c r="AC48">
        <f>IF(OR(T48&lt;3,P48&gt;=4,W48&gt;48),"At Risk","Stable")</f>
        <v/>
      </c>
      <c r="AD48">
        <f>IF(COUNT(M48:O48)&lt;3,"",ROUND((M48*0.30+N48*0.25+O48*0.25+(6-P48)*0.10+IF(W48&lt;=24,5,IF(W48&lt;=48,3,1))*0.10),2))</f>
        <v/>
      </c>
      <c r="AE48">
        <f>IF(AD48="","Unknown",IF(AD48&gt;=3.5,"Yes","No"))</f>
        <v/>
      </c>
      <c r="AF48">
        <f>IF(AC48="At Risk",IF(M48&lt;3,"Improve teaching clarity",IF(O48&lt;3,"Increase student interaction",IF(P48&gt;=4,"Reduce perceived difficulty with examples",IF(W48&gt;48,"Improve response time","Review student feedback")))),"Maintain current approach")</f>
        <v/>
      </c>
      <c r="AG48">
        <f>IF(AC48="At Risk","High",IF(T48&lt;4,"Medium","Low"))</f>
        <v/>
      </c>
    </row>
    <row r="49">
      <c r="A49" t="inlineStr">
        <is>
          <t>P008</t>
        </is>
      </c>
      <c r="B49" t="inlineStr">
        <is>
          <t>Prof. Karan Bhatia</t>
        </is>
      </c>
      <c r="C49" t="inlineStr">
        <is>
          <t>Liberal Studies</t>
        </is>
      </c>
      <c r="D49" t="inlineStr">
        <is>
          <t>B.A. (Sociology)</t>
        </is>
      </c>
      <c r="E49" t="inlineStr">
        <is>
          <t>M.A. (Sociology)</t>
        </is>
      </c>
      <c r="G49" t="inlineStr">
        <is>
          <t>M.A.</t>
        </is>
      </c>
      <c r="H49" t="inlineStr">
        <is>
          <t>Sociology</t>
        </is>
      </c>
      <c r="I49" t="inlineStr">
        <is>
          <t>Critical Thinking</t>
        </is>
      </c>
      <c r="J49" t="inlineStr">
        <is>
          <t>Communication Skills</t>
        </is>
      </c>
      <c r="K49" t="inlineStr">
        <is>
          <t>2nd</t>
        </is>
      </c>
      <c r="L49" t="inlineStr">
        <is>
          <t>ECE</t>
        </is>
      </c>
      <c r="M49" t="n">
        <v>4</v>
      </c>
      <c r="N49" t="n">
        <v>4</v>
      </c>
      <c r="O49" t="n">
        <v>2</v>
      </c>
      <c r="P49" t="n">
        <v>1</v>
      </c>
      <c r="Q49" t="n">
        <v>3</v>
      </c>
      <c r="R49" t="inlineStr">
        <is>
          <t>No</t>
        </is>
      </c>
      <c r="S49" t="inlineStr">
        <is>
          <t>Interactive sessions.</t>
        </is>
      </c>
      <c r="T49" t="n">
        <v>3.33</v>
      </c>
      <c r="U49" t="n">
        <v>20</v>
      </c>
      <c r="V49" t="n">
        <v>3</v>
      </c>
      <c r="W49" t="n">
        <v>12</v>
      </c>
      <c r="X49" t="n">
        <v>4</v>
      </c>
      <c r="Y49" t="n">
        <v>11</v>
      </c>
      <c r="Z49" t="inlineStr">
        <is>
          <t>No</t>
        </is>
      </c>
      <c r="AA49">
        <f>IF(T49="","Missing",IF(T49&gt;=4,"High",IF(T49&gt;=3,"Moderate","Low")))</f>
        <v/>
      </c>
      <c r="AB49">
        <f>IF(COUNT(M49:O49)&lt;3,"Insufficient data",IF(MIN(M49:O49)=M49,"Teaching",IF(MIN(M49:O49)=N49,"Knowledge",IF(MIN(M49:O49)=O49,"Interaction",IF(P49&gt;=4,"High difficulty",IF(W49&gt;48,"Slow response","Balanced"))))))</f>
        <v/>
      </c>
      <c r="AC49">
        <f>IF(OR(T49&lt;3,P49&gt;=4,W49&gt;48),"At Risk","Stable")</f>
        <v/>
      </c>
      <c r="AD49">
        <f>IF(COUNT(M49:O49)&lt;3,"",ROUND((M49*0.30+N49*0.25+O49*0.25+(6-P49)*0.10+IF(W49&lt;=24,5,IF(W49&lt;=48,3,1))*0.10),2))</f>
        <v/>
      </c>
      <c r="AE49">
        <f>IF(AD49="","Unknown",IF(AD49&gt;=3.5,"Yes","No"))</f>
        <v/>
      </c>
      <c r="AF49">
        <f>IF(AC49="At Risk",IF(M49&lt;3,"Improve teaching clarity",IF(O49&lt;3,"Increase student interaction",IF(P49&gt;=4,"Reduce perceived difficulty with examples",IF(W49&gt;48,"Improve response time","Review student feedback")))),"Maintain current approach")</f>
        <v/>
      </c>
      <c r="AG49">
        <f>IF(AC49="At Risk","High",IF(T49&lt;4,"Medium","Low"))</f>
        <v/>
      </c>
    </row>
    <row r="50">
      <c r="A50" t="inlineStr">
        <is>
          <t>P009</t>
        </is>
      </c>
      <c r="B50" t="inlineStr">
        <is>
          <t>Dr. Priya Nanda</t>
        </is>
      </c>
      <c r="C50" t="inlineStr">
        <is>
          <t>Computer Science</t>
        </is>
      </c>
      <c r="D50" t="inlineStr">
        <is>
          <t>B.Tech (Computer Science)</t>
        </is>
      </c>
      <c r="E50" t="inlineStr">
        <is>
          <t>M.Tech (Machine Learning)</t>
        </is>
      </c>
      <c r="F50" t="inlineStr">
        <is>
          <t>Ph.D. in Computer Science</t>
        </is>
      </c>
      <c r="G50" t="inlineStr">
        <is>
          <t>Ph.D.</t>
        </is>
      </c>
      <c r="H50" t="inlineStr">
        <is>
          <t>Machine Learning</t>
        </is>
      </c>
      <c r="I50" t="inlineStr">
        <is>
          <t>Artificial Intelligence</t>
        </is>
      </c>
      <c r="J50" t="inlineStr">
        <is>
          <t>Data Mining</t>
        </is>
      </c>
      <c r="K50" t="inlineStr">
        <is>
          <t>2nd</t>
        </is>
      </c>
      <c r="L50" t="inlineStr">
        <is>
          <t>CSE</t>
        </is>
      </c>
      <c r="M50" t="n">
        <v>4</v>
      </c>
      <c r="N50" t="n">
        <v>3</v>
      </c>
      <c r="O50" t="n">
        <v>4</v>
      </c>
      <c r="P50" t="n">
        <v>3</v>
      </c>
      <c r="Q50" t="n">
        <v>2</v>
      </c>
      <c r="R50" t="inlineStr">
        <is>
          <t>Yes</t>
        </is>
      </c>
      <c r="S50" t="inlineStr">
        <is>
          <t>Excellent real-world case studies.</t>
        </is>
      </c>
      <c r="T50" t="n">
        <v>3.67</v>
      </c>
      <c r="U50" t="n">
        <v>26</v>
      </c>
      <c r="V50" t="n">
        <v>3</v>
      </c>
      <c r="W50" t="n">
        <v>24</v>
      </c>
      <c r="X50" t="n">
        <v>20</v>
      </c>
      <c r="Y50" t="n">
        <v>6</v>
      </c>
      <c r="Z50" t="inlineStr">
        <is>
          <t>No</t>
        </is>
      </c>
      <c r="AA50">
        <f>IF(T50="","Missing",IF(T50&gt;=4,"High",IF(T50&gt;=3,"Moderate","Low")))</f>
        <v/>
      </c>
      <c r="AB50">
        <f>IF(COUNT(M50:O50)&lt;3,"Insufficient data",IF(MIN(M50:O50)=M50,"Teaching",IF(MIN(M50:O50)=N50,"Knowledge",IF(MIN(M50:O50)=O50,"Interaction",IF(P50&gt;=4,"High difficulty",IF(W50&gt;48,"Slow response","Balanced"))))))</f>
        <v/>
      </c>
      <c r="AC50">
        <f>IF(OR(T50&lt;3,P50&gt;=4,W50&gt;48),"At Risk","Stable")</f>
        <v/>
      </c>
      <c r="AD50">
        <f>IF(COUNT(M50:O50)&lt;3,"",ROUND((M50*0.30+N50*0.25+O50*0.25+(6-P50)*0.10+IF(W50&lt;=24,5,IF(W50&lt;=48,3,1))*0.10),2))</f>
        <v/>
      </c>
      <c r="AE50">
        <f>IF(AD50="","Unknown",IF(AD50&gt;=3.5,"Yes","No"))</f>
        <v/>
      </c>
      <c r="AF50">
        <f>IF(AC50="At Risk",IF(M50&lt;3,"Improve teaching clarity",IF(O50&lt;3,"Increase student interaction",IF(P50&gt;=4,"Reduce perceived difficulty with examples",IF(W50&gt;48,"Improve response time","Review student feedback")))),"Maintain current approach")</f>
        <v/>
      </c>
      <c r="AG50">
        <f>IF(AC50="At Risk","High",IF(T50&lt;4,"Medium","Low"))</f>
        <v/>
      </c>
    </row>
    <row r="51">
      <c r="A51" t="inlineStr">
        <is>
          <t>P010</t>
        </is>
      </c>
      <c r="B51" t="inlineStr">
        <is>
          <t>Dr. Mohit Arora</t>
        </is>
      </c>
      <c r="C51" t="inlineStr">
        <is>
          <t>Business</t>
        </is>
      </c>
      <c r="D51" t="inlineStr">
        <is>
          <t>BBA</t>
        </is>
      </c>
      <c r="E51" t="inlineStr">
        <is>
          <t>MBA (Business Analytics)</t>
        </is>
      </c>
      <c r="G51" t="inlineStr">
        <is>
          <t>MBA</t>
        </is>
      </c>
      <c r="H51" t="inlineStr">
        <is>
          <t>Business Analytics</t>
        </is>
      </c>
      <c r="I51" t="inlineStr">
        <is>
          <t>Operations Management</t>
        </is>
      </c>
      <c r="J51" t="inlineStr">
        <is>
          <t>Excel for Business</t>
        </is>
      </c>
      <c r="K51" t="inlineStr">
        <is>
          <t>4th</t>
        </is>
      </c>
      <c r="L51" t="inlineStr">
        <is>
          <t>Liberal Studies</t>
        </is>
      </c>
      <c r="M51" t="n">
        <v>5</v>
      </c>
      <c r="N51" t="n">
        <v>4</v>
      </c>
      <c r="O51" t="n">
        <v>5</v>
      </c>
      <c r="P51" t="n">
        <v>2</v>
      </c>
      <c r="Q51" t="n">
        <v>1</v>
      </c>
      <c r="R51" t="inlineStr">
        <is>
          <t>Yes</t>
        </is>
      </c>
      <c r="S51" t="inlineStr">
        <is>
          <t>Explains concepts clearly.</t>
        </is>
      </c>
      <c r="T51" t="n">
        <v>4.67</v>
      </c>
      <c r="U51" t="n">
        <v>41</v>
      </c>
      <c r="V51" t="n">
        <v>3</v>
      </c>
      <c r="W51" t="n">
        <v>12</v>
      </c>
      <c r="X51" t="n">
        <v>8</v>
      </c>
      <c r="Y51" t="n">
        <v>9</v>
      </c>
      <c r="Z51" t="inlineStr">
        <is>
          <t>No</t>
        </is>
      </c>
      <c r="AA51">
        <f>IF(T51="","Missing",IF(T51&gt;=4,"High",IF(T51&gt;=3,"Moderate","Low")))</f>
        <v/>
      </c>
      <c r="AB51">
        <f>IF(COUNT(M51:O51)&lt;3,"Insufficient data",IF(MIN(M51:O51)=M51,"Teaching",IF(MIN(M51:O51)=N51,"Knowledge",IF(MIN(M51:O51)=O51,"Interaction",IF(P51&gt;=4,"High difficulty",IF(W51&gt;48,"Slow response","Balanced"))))))</f>
        <v/>
      </c>
      <c r="AC51">
        <f>IF(OR(T51&lt;3,P51&gt;=4,W51&gt;48),"At Risk","Stable")</f>
        <v/>
      </c>
      <c r="AD51">
        <f>IF(COUNT(M51:O51)&lt;3,"",ROUND((M51*0.30+N51*0.25+O51*0.25+(6-P51)*0.10+IF(W51&lt;=24,5,IF(W51&lt;=48,3,1))*0.10),2))</f>
        <v/>
      </c>
      <c r="AE51">
        <f>IF(AD51="","Unknown",IF(AD51&gt;=3.5,"Yes","No"))</f>
        <v/>
      </c>
      <c r="AF51">
        <f>IF(AC51="At Risk",IF(M51&lt;3,"Improve teaching clarity",IF(O51&lt;3,"Increase student interaction",IF(P51&gt;=4,"Reduce perceived difficulty with examples",IF(W51&gt;48,"Improve response time","Review student feedback")))),"Maintain current approach")</f>
        <v/>
      </c>
      <c r="AG51">
        <f>IF(AC51="At Risk","High",IF(T51&lt;4,"Medium","Low"))</f>
        <v/>
      </c>
    </row>
    <row r="52">
      <c r="A52" t="inlineStr">
        <is>
          <t>P001</t>
        </is>
      </c>
      <c r="B52" t="inlineStr">
        <is>
          <t>Dr. Aditi Sharma</t>
        </is>
      </c>
      <c r="C52" t="inlineStr">
        <is>
          <t>Computer Science</t>
        </is>
      </c>
      <c r="D52" t="inlineStr">
        <is>
          <t>B.Tech (Computer Science)</t>
        </is>
      </c>
      <c r="E52" t="inlineStr">
        <is>
          <t>M.Tech (Computer Science &amp; Engineering)</t>
        </is>
      </c>
      <c r="F52" t="inlineStr">
        <is>
          <t>Ph.D. in Data Science</t>
        </is>
      </c>
      <c r="G52" t="inlineStr">
        <is>
          <t>Ph.D.</t>
        </is>
      </c>
      <c r="H52" t="inlineStr">
        <is>
          <t>Data Science</t>
        </is>
      </c>
      <c r="I52" t="inlineStr">
        <is>
          <t>Python Programming</t>
        </is>
      </c>
      <c r="J52" t="inlineStr">
        <is>
          <t>Data Visualization</t>
        </is>
      </c>
      <c r="K52" t="inlineStr">
        <is>
          <t>2nd</t>
        </is>
      </c>
      <c r="L52" t="inlineStr">
        <is>
          <t>Law</t>
        </is>
      </c>
      <c r="M52" t="n">
        <v>2</v>
      </c>
      <c r="N52" t="n">
        <v>3</v>
      </c>
      <c r="O52" t="n">
        <v>3</v>
      </c>
      <c r="P52" t="n">
        <v>4</v>
      </c>
      <c r="Q52" t="n">
        <v>3</v>
      </c>
      <c r="R52" t="inlineStr">
        <is>
          <t>No</t>
        </is>
      </c>
      <c r="S52" t="inlineStr">
        <is>
          <t>Assignments are difficult.</t>
        </is>
      </c>
      <c r="T52" t="n">
        <v>2.67</v>
      </c>
      <c r="U52" t="n">
        <v>26</v>
      </c>
      <c r="V52" t="n">
        <v>5</v>
      </c>
      <c r="W52" t="n">
        <v>48</v>
      </c>
      <c r="X52" t="n">
        <v>16</v>
      </c>
      <c r="Y52" t="n">
        <v>12</v>
      </c>
      <c r="Z52" t="inlineStr">
        <is>
          <t>Yes</t>
        </is>
      </c>
      <c r="AA52">
        <f>IF(T52="","Missing",IF(T52&gt;=4,"High",IF(T52&gt;=3,"Moderate","Low")))</f>
        <v/>
      </c>
      <c r="AB52">
        <f>IF(COUNT(M52:O52)&lt;3,"Insufficient data",IF(MIN(M52:O52)=M52,"Teaching",IF(MIN(M52:O52)=N52,"Knowledge",IF(MIN(M52:O52)=O52,"Interaction",IF(P52&gt;=4,"High difficulty",IF(W52&gt;48,"Slow response","Balanced"))))))</f>
        <v/>
      </c>
      <c r="AC52">
        <f>IF(OR(T52&lt;3,P52&gt;=4,W52&gt;48),"At Risk","Stable")</f>
        <v/>
      </c>
      <c r="AD52">
        <f>IF(COUNT(M52:O52)&lt;3,"",ROUND((M52*0.30+N52*0.25+O52*0.25+(6-P52)*0.10+IF(W52&lt;=24,5,IF(W52&lt;=48,3,1))*0.10),2))</f>
        <v/>
      </c>
      <c r="AE52">
        <f>IF(AD52="","Unknown",IF(AD52&gt;=3.5,"Yes","No"))</f>
        <v/>
      </c>
      <c r="AF52">
        <f>IF(AC52="At Risk",IF(M52&lt;3,"Improve teaching clarity",IF(O52&lt;3,"Increase student interaction",IF(P52&gt;=4,"Reduce perceived difficulty with examples",IF(W52&gt;48,"Improve response time","Review student feedback")))),"Maintain current approach")</f>
        <v/>
      </c>
      <c r="AG52">
        <f>IF(AC52="At Risk","High",IF(T52&lt;4,"Medium","Low"))</f>
        <v/>
      </c>
    </row>
    <row r="53">
      <c r="A53" t="inlineStr">
        <is>
          <t>P002</t>
        </is>
      </c>
      <c r="B53" t="inlineStr">
        <is>
          <t>Dr. Rahul Mehta</t>
        </is>
      </c>
      <c r="C53" t="inlineStr">
        <is>
          <t>Computer Science</t>
        </is>
      </c>
      <c r="D53" t="inlineStr">
        <is>
          <t>B.Tech (Information Technology)</t>
        </is>
      </c>
      <c r="E53" t="inlineStr">
        <is>
          <t>M.Tech (Computer Science)</t>
        </is>
      </c>
      <c r="F53" t="inlineStr">
        <is>
          <t>Ph.D. in Artificial Intelligence</t>
        </is>
      </c>
      <c r="G53" t="inlineStr">
        <is>
          <t>Ph.D.</t>
        </is>
      </c>
      <c r="H53" t="inlineStr">
        <is>
          <t>Artificial Intelligence</t>
        </is>
      </c>
      <c r="I53" t="inlineStr">
        <is>
          <t>Data Structures</t>
        </is>
      </c>
      <c r="J53" t="inlineStr">
        <is>
          <t>Computer Networks</t>
        </is>
      </c>
      <c r="K53" t="inlineStr">
        <is>
          <t>2nd</t>
        </is>
      </c>
      <c r="L53" t="inlineStr">
        <is>
          <t>AI &amp; DS</t>
        </is>
      </c>
      <c r="M53" t="n">
        <v>4</v>
      </c>
      <c r="N53" t="n">
        <v>4</v>
      </c>
      <c r="O53" t="n">
        <v>5</v>
      </c>
      <c r="P53" t="n">
        <v>2</v>
      </c>
      <c r="Q53" t="n">
        <v>1</v>
      </c>
      <c r="R53" t="inlineStr">
        <is>
          <t>Yes</t>
        </is>
      </c>
      <c r="S53" t="inlineStr">
        <is>
          <t>Excellent real-world case studies.</t>
        </is>
      </c>
      <c r="T53" t="n">
        <v>4.33</v>
      </c>
      <c r="U53" t="n">
        <v>34</v>
      </c>
      <c r="V53" t="n">
        <v>6</v>
      </c>
      <c r="W53" t="n">
        <v>12</v>
      </c>
      <c r="X53" t="n">
        <v>35</v>
      </c>
      <c r="Y53" t="n">
        <v>7</v>
      </c>
      <c r="Z53" t="inlineStr">
        <is>
          <t>No</t>
        </is>
      </c>
      <c r="AA53">
        <f>IF(T53="","Missing",IF(T53&gt;=4,"High",IF(T53&gt;=3,"Moderate","Low")))</f>
        <v/>
      </c>
      <c r="AB53">
        <f>IF(COUNT(M53:O53)&lt;3,"Insufficient data",IF(MIN(M53:O53)=M53,"Teaching",IF(MIN(M53:O53)=N53,"Knowledge",IF(MIN(M53:O53)=O53,"Interaction",IF(P53&gt;=4,"High difficulty",IF(W53&gt;48,"Slow response","Balanced"))))))</f>
        <v/>
      </c>
      <c r="AC53">
        <f>IF(OR(T53&lt;3,P53&gt;=4,W53&gt;48),"At Risk","Stable")</f>
        <v/>
      </c>
      <c r="AD53">
        <f>IF(COUNT(M53:O53)&lt;3,"",ROUND((M53*0.30+N53*0.25+O53*0.25+(6-P53)*0.10+IF(W53&lt;=24,5,IF(W53&lt;=48,3,1))*0.10),2))</f>
        <v/>
      </c>
      <c r="AE53">
        <f>IF(AD53="","Unknown",IF(AD53&gt;=3.5,"Yes","No"))</f>
        <v/>
      </c>
      <c r="AF53">
        <f>IF(AC53="At Risk",IF(M53&lt;3,"Improve teaching clarity",IF(O53&lt;3,"Increase student interaction",IF(P53&gt;=4,"Reduce perceived difficulty with examples",IF(W53&gt;48,"Improve response time","Review student feedback")))),"Maintain current approach")</f>
        <v/>
      </c>
      <c r="AG53">
        <f>IF(AC53="At Risk","High",IF(T53&lt;4,"Medium","Low"))</f>
        <v/>
      </c>
    </row>
    <row r="54">
      <c r="A54" t="inlineStr">
        <is>
          <t>P003</t>
        </is>
      </c>
      <c r="B54" t="inlineStr">
        <is>
          <t>Prof. Neha Kapoor</t>
        </is>
      </c>
      <c r="C54" t="inlineStr">
        <is>
          <t>Business</t>
        </is>
      </c>
      <c r="D54" t="inlineStr">
        <is>
          <t>BBA</t>
        </is>
      </c>
      <c r="E54" t="inlineStr">
        <is>
          <t>MBA (Marketing)</t>
        </is>
      </c>
      <c r="F54" t="inlineStr">
        <is>
          <t>Ph.D. in Marketing Management</t>
        </is>
      </c>
      <c r="G54" t="inlineStr">
        <is>
          <t>Ph.D.</t>
        </is>
      </c>
      <c r="H54" t="inlineStr">
        <is>
          <t>Marketing</t>
        </is>
      </c>
      <c r="I54" t="inlineStr">
        <is>
          <t>Consumer Behaviour</t>
        </is>
      </c>
      <c r="J54" t="inlineStr">
        <is>
          <t>Digital Marketing</t>
        </is>
      </c>
      <c r="K54" t="inlineStr">
        <is>
          <t>2nd</t>
        </is>
      </c>
      <c r="L54" t="inlineStr">
        <is>
          <t>Liberal Studies</t>
        </is>
      </c>
      <c r="M54" t="n">
        <v>4</v>
      </c>
      <c r="N54" t="n">
        <v>4</v>
      </c>
      <c r="O54" t="n">
        <v>5</v>
      </c>
      <c r="P54" t="n">
        <v>2</v>
      </c>
      <c r="Q54" t="n">
        <v>2</v>
      </c>
      <c r="R54" t="inlineStr">
        <is>
          <t>Yes</t>
        </is>
      </c>
      <c r="S54" t="inlineStr">
        <is>
          <t>Very supportive during class.</t>
        </is>
      </c>
      <c r="T54" t="n">
        <v>4.33</v>
      </c>
      <c r="U54" t="n">
        <v>23</v>
      </c>
      <c r="V54" t="n">
        <v>2</v>
      </c>
      <c r="W54" t="n">
        <v>24</v>
      </c>
      <c r="X54" t="n">
        <v>5</v>
      </c>
      <c r="Y54" t="n">
        <v>10</v>
      </c>
      <c r="Z54" t="inlineStr">
        <is>
          <t>Yes</t>
        </is>
      </c>
      <c r="AA54">
        <f>IF(T54="","Missing",IF(T54&gt;=4,"High",IF(T54&gt;=3,"Moderate","Low")))</f>
        <v/>
      </c>
      <c r="AB54">
        <f>IF(COUNT(M54:O54)&lt;3,"Insufficient data",IF(MIN(M54:O54)=M54,"Teaching",IF(MIN(M54:O54)=N54,"Knowledge",IF(MIN(M54:O54)=O54,"Interaction",IF(P54&gt;=4,"High difficulty",IF(W54&gt;48,"Slow response","Balanced"))))))</f>
        <v/>
      </c>
      <c r="AC54">
        <f>IF(OR(T54&lt;3,P54&gt;=4,W54&gt;48),"At Risk","Stable")</f>
        <v/>
      </c>
      <c r="AD54">
        <f>IF(COUNT(M54:O54)&lt;3,"",ROUND((M54*0.30+N54*0.25+O54*0.25+(6-P54)*0.10+IF(W54&lt;=24,5,IF(W54&lt;=48,3,1))*0.10),2))</f>
        <v/>
      </c>
      <c r="AE54">
        <f>IF(AD54="","Unknown",IF(AD54&gt;=3.5,"Yes","No"))</f>
        <v/>
      </c>
      <c r="AF54">
        <f>IF(AC54="At Risk",IF(M54&lt;3,"Improve teaching clarity",IF(O54&lt;3,"Increase student interaction",IF(P54&gt;=4,"Reduce perceived difficulty with examples",IF(W54&gt;48,"Improve response time","Review student feedback")))),"Maintain current approach")</f>
        <v/>
      </c>
      <c r="AG54">
        <f>IF(AC54="At Risk","High",IF(T54&lt;4,"Medium","Low"))</f>
        <v/>
      </c>
    </row>
    <row r="55">
      <c r="A55" t="inlineStr">
        <is>
          <t>P004</t>
        </is>
      </c>
      <c r="B55" t="inlineStr">
        <is>
          <t>Dr. Arjun Verma</t>
        </is>
      </c>
      <c r="C55" t="inlineStr">
        <is>
          <t>Business</t>
        </is>
      </c>
      <c r="D55" t="inlineStr">
        <is>
          <t>B.Com</t>
        </is>
      </c>
      <c r="E55" t="inlineStr">
        <is>
          <t>MBA (Finance)</t>
        </is>
      </c>
      <c r="F55" t="inlineStr">
        <is>
          <t>Ph.D. in Finance</t>
        </is>
      </c>
      <c r="G55" t="inlineStr">
        <is>
          <t>Ph.D.</t>
        </is>
      </c>
      <c r="H55" t="inlineStr">
        <is>
          <t>Finance</t>
        </is>
      </c>
      <c r="I55" t="inlineStr">
        <is>
          <t>Investment Analysis</t>
        </is>
      </c>
      <c r="J55" t="inlineStr">
        <is>
          <t>Business Statistics</t>
        </is>
      </c>
      <c r="K55" t="inlineStr">
        <is>
          <t>2nd</t>
        </is>
      </c>
      <c r="L55" t="inlineStr">
        <is>
          <t>ECE</t>
        </is>
      </c>
      <c r="M55" t="n">
        <v>4</v>
      </c>
      <c r="N55" t="n">
        <v>4</v>
      </c>
      <c r="O55" t="n">
        <v>3</v>
      </c>
      <c r="P55" t="n">
        <v>4</v>
      </c>
      <c r="Q55" t="n">
        <v>4</v>
      </c>
      <c r="R55" t="inlineStr">
        <is>
          <t>Yes</t>
        </is>
      </c>
      <c r="S55" t="inlineStr">
        <is>
          <t>Average teaching style.</t>
        </is>
      </c>
      <c r="T55" t="n">
        <v>3.67</v>
      </c>
      <c r="U55" t="n">
        <v>41</v>
      </c>
      <c r="V55" t="n">
        <v>4</v>
      </c>
      <c r="W55" t="n">
        <v>4</v>
      </c>
      <c r="X55" t="n">
        <v>24</v>
      </c>
      <c r="Y55" t="n">
        <v>8</v>
      </c>
      <c r="Z55" t="inlineStr">
        <is>
          <t>No</t>
        </is>
      </c>
      <c r="AA55">
        <f>IF(T55="","Missing",IF(T55&gt;=4,"High",IF(T55&gt;=3,"Moderate","Low")))</f>
        <v/>
      </c>
      <c r="AB55">
        <f>IF(COUNT(M55:O55)&lt;3,"Insufficient data",IF(MIN(M55:O55)=M55,"Teaching",IF(MIN(M55:O55)=N55,"Knowledge",IF(MIN(M55:O55)=O55,"Interaction",IF(P55&gt;=4,"High difficulty",IF(W55&gt;48,"Slow response","Balanced"))))))</f>
        <v/>
      </c>
      <c r="AC55">
        <f>IF(OR(T55&lt;3,P55&gt;=4,W55&gt;48),"At Risk","Stable")</f>
        <v/>
      </c>
      <c r="AD55">
        <f>IF(COUNT(M55:O55)&lt;3,"",ROUND((M55*0.30+N55*0.25+O55*0.25+(6-P55)*0.10+IF(W55&lt;=24,5,IF(W55&lt;=48,3,1))*0.10),2))</f>
        <v/>
      </c>
      <c r="AE55">
        <f>IF(AD55="","Unknown",IF(AD55&gt;=3.5,"Yes","No"))</f>
        <v/>
      </c>
      <c r="AF55">
        <f>IF(AC55="At Risk",IF(M55&lt;3,"Improve teaching clarity",IF(O55&lt;3,"Increase student interaction",IF(P55&gt;=4,"Reduce perceived difficulty with examples",IF(W55&gt;48,"Improve response time","Review student feedback")))),"Maintain current approach")</f>
        <v/>
      </c>
      <c r="AG55">
        <f>IF(AC55="At Risk","High",IF(T55&lt;4,"Medium","Low"))</f>
        <v/>
      </c>
    </row>
    <row r="56">
      <c r="A56" t="inlineStr">
        <is>
          <t>P005</t>
        </is>
      </c>
      <c r="B56" t="inlineStr">
        <is>
          <t>Dr. Simran Kaur</t>
        </is>
      </c>
      <c r="C56" t="inlineStr">
        <is>
          <t>Law</t>
        </is>
      </c>
      <c r="D56" t="inlineStr">
        <is>
          <t>B.A. LL.B. (Hons.)</t>
        </is>
      </c>
      <c r="E56" t="inlineStr">
        <is>
          <t>LL.M. (Constitutional Law)</t>
        </is>
      </c>
      <c r="F56" t="inlineStr">
        <is>
          <t>Ph.D. in Constitutional Law</t>
        </is>
      </c>
      <c r="G56" t="inlineStr">
        <is>
          <t>Ph.D.</t>
        </is>
      </c>
      <c r="H56" t="inlineStr">
        <is>
          <t>Constitutional Law</t>
        </is>
      </c>
      <c r="I56" t="inlineStr">
        <is>
          <t>Legal Research</t>
        </is>
      </c>
      <c r="J56" t="inlineStr">
        <is>
          <t>Jurisprudence</t>
        </is>
      </c>
      <c r="K56" t="inlineStr">
        <is>
          <t>4th</t>
        </is>
      </c>
      <c r="L56" t="inlineStr">
        <is>
          <t>Business</t>
        </is>
      </c>
      <c r="M56" t="n">
        <v>2</v>
      </c>
      <c r="O56" t="n">
        <v>4</v>
      </c>
      <c r="P56" t="n">
        <v>2</v>
      </c>
      <c r="Q56" t="n">
        <v>5</v>
      </c>
      <c r="R56" t="inlineStr">
        <is>
          <t>Yes</t>
        </is>
      </c>
      <c r="S56" t="inlineStr">
        <is>
          <t>Very supportive during class.</t>
        </is>
      </c>
      <c r="T56" t="n">
        <v>2.67</v>
      </c>
      <c r="U56" t="n">
        <v>26</v>
      </c>
      <c r="V56" t="n">
        <v>1</v>
      </c>
      <c r="W56" t="n">
        <v>12</v>
      </c>
      <c r="X56" t="n">
        <v>25</v>
      </c>
      <c r="Y56" t="n">
        <v>14</v>
      </c>
      <c r="Z56" t="inlineStr">
        <is>
          <t>No</t>
        </is>
      </c>
      <c r="AA56">
        <f>IF(T56="","Missing",IF(T56&gt;=4,"High",IF(T56&gt;=3,"Moderate","Low")))</f>
        <v/>
      </c>
      <c r="AB56">
        <f>IF(COUNT(M56:O56)&lt;3,"Insufficient data",IF(MIN(M56:O56)=M56,"Teaching",IF(MIN(M56:O56)=N56,"Knowledge",IF(MIN(M56:O56)=O56,"Interaction",IF(P56&gt;=4,"High difficulty",IF(W56&gt;48,"Slow response","Balanced"))))))</f>
        <v/>
      </c>
      <c r="AC56">
        <f>IF(OR(T56&lt;3,P56&gt;=4,W56&gt;48),"At Risk","Stable")</f>
        <v/>
      </c>
      <c r="AD56">
        <f>IF(COUNT(M56:O56)&lt;3,"",ROUND((M56*0.30+N56*0.25+O56*0.25+(6-P56)*0.10+IF(W56&lt;=24,5,IF(W56&lt;=48,3,1))*0.10),2))</f>
        <v/>
      </c>
      <c r="AE56">
        <f>IF(AD56="","Unknown",IF(AD56&gt;=3.5,"Yes","No"))</f>
        <v/>
      </c>
      <c r="AF56">
        <f>IF(AC56="At Risk",IF(M56&lt;3,"Improve teaching clarity",IF(O56&lt;3,"Increase student interaction",IF(P56&gt;=4,"Reduce perceived difficulty with examples",IF(W56&gt;48,"Improve response time","Review student feedback")))),"Maintain current approach")</f>
        <v/>
      </c>
      <c r="AG56">
        <f>IF(AC56="At Risk","High",IF(T56&lt;4,"Medium","Low"))</f>
        <v/>
      </c>
    </row>
    <row r="57">
      <c r="A57" t="inlineStr">
        <is>
          <t>P006</t>
        </is>
      </c>
      <c r="B57" t="inlineStr">
        <is>
          <t>Prof. Vivek Saini</t>
        </is>
      </c>
      <c r="C57" t="inlineStr">
        <is>
          <t>Law</t>
        </is>
      </c>
      <c r="D57" t="inlineStr">
        <is>
          <t>B.A. LL.B.</t>
        </is>
      </c>
      <c r="E57" t="inlineStr">
        <is>
          <t>LL.M. (Corporate Law)</t>
        </is>
      </c>
      <c r="G57" t="inlineStr">
        <is>
          <t>LL.M.</t>
        </is>
      </c>
      <c r="H57" t="inlineStr">
        <is>
          <t>Corporate Law</t>
        </is>
      </c>
      <c r="I57" t="inlineStr">
        <is>
          <t>Cyber Law</t>
        </is>
      </c>
      <c r="J57" t="inlineStr">
        <is>
          <t>IPR</t>
        </is>
      </c>
      <c r="K57" t="inlineStr">
        <is>
          <t>2nd</t>
        </is>
      </c>
      <c r="L57" t="inlineStr">
        <is>
          <t>Law</t>
        </is>
      </c>
      <c r="M57" t="n">
        <v>4</v>
      </c>
      <c r="N57" t="n">
        <v>3</v>
      </c>
      <c r="O57" t="n">
        <v>3</v>
      </c>
      <c r="P57" t="n">
        <v>4</v>
      </c>
      <c r="Q57" t="n">
        <v>5</v>
      </c>
      <c r="R57" t="inlineStr">
        <is>
          <t>No</t>
        </is>
      </c>
      <c r="S57" t="inlineStr">
        <is>
          <t>Explains concepts clearly.</t>
        </is>
      </c>
      <c r="T57" t="n">
        <v>3.33</v>
      </c>
      <c r="U57" t="n">
        <v>20</v>
      </c>
      <c r="V57" t="n">
        <v>3</v>
      </c>
      <c r="W57" t="n">
        <v>72</v>
      </c>
      <c r="X57" t="n">
        <v>33</v>
      </c>
      <c r="Y57" t="n">
        <v>14</v>
      </c>
      <c r="Z57" t="inlineStr">
        <is>
          <t>No</t>
        </is>
      </c>
      <c r="AA57">
        <f>IF(T57="","Missing",IF(T57&gt;=4,"High",IF(T57&gt;=3,"Moderate","Low")))</f>
        <v/>
      </c>
      <c r="AB57">
        <f>IF(COUNT(M57:O57)&lt;3,"Insufficient data",IF(MIN(M57:O57)=M57,"Teaching",IF(MIN(M57:O57)=N57,"Knowledge",IF(MIN(M57:O57)=O57,"Interaction",IF(P57&gt;=4,"High difficulty",IF(W57&gt;48,"Slow response","Balanced"))))))</f>
        <v/>
      </c>
      <c r="AC57">
        <f>IF(OR(T57&lt;3,P57&gt;=4,W57&gt;48),"At Risk","Stable")</f>
        <v/>
      </c>
      <c r="AD57">
        <f>IF(COUNT(M57:O57)&lt;3,"",ROUND((M57*0.30+N57*0.25+O57*0.25+(6-P57)*0.10+IF(W57&lt;=24,5,IF(W57&lt;=48,3,1))*0.10),2))</f>
        <v/>
      </c>
      <c r="AE57">
        <f>IF(AD57="","Unknown",IF(AD57&gt;=3.5,"Yes","No"))</f>
        <v/>
      </c>
      <c r="AF57">
        <f>IF(AC57="At Risk",IF(M57&lt;3,"Improve teaching clarity",IF(O57&lt;3,"Increase student interaction",IF(P57&gt;=4,"Reduce perceived difficulty with examples",IF(W57&gt;48,"Improve response time","Review student feedback")))),"Maintain current approach")</f>
        <v/>
      </c>
      <c r="AG57">
        <f>IF(AC57="At Risk","High",IF(T57&lt;4,"Medium","Low"))</f>
        <v/>
      </c>
    </row>
    <row r="58">
      <c r="A58" t="inlineStr">
        <is>
          <t>P007</t>
        </is>
      </c>
      <c r="B58" t="inlineStr">
        <is>
          <t>Dr. Ritu Joshi</t>
        </is>
      </c>
      <c r="C58" t="inlineStr">
        <is>
          <t>Liberal Studies</t>
        </is>
      </c>
      <c r="D58" t="inlineStr">
        <is>
          <t>B.A. (Psychology)</t>
        </is>
      </c>
      <c r="E58" t="inlineStr">
        <is>
          <t>M.A. (Psychology)</t>
        </is>
      </c>
      <c r="F58" t="inlineStr">
        <is>
          <t>Ph.D. in Psychology</t>
        </is>
      </c>
      <c r="G58" t="inlineStr">
        <is>
          <t>Ph.D.</t>
        </is>
      </c>
      <c r="H58" t="inlineStr">
        <is>
          <t>Psychology</t>
        </is>
      </c>
      <c r="I58" t="inlineStr">
        <is>
          <t>Research Methodology</t>
        </is>
      </c>
      <c r="J58" t="inlineStr">
        <is>
          <t>Personality Development</t>
        </is>
      </c>
      <c r="K58" t="inlineStr">
        <is>
          <t>2nd</t>
        </is>
      </c>
      <c r="L58" t="inlineStr">
        <is>
          <t>AI &amp; DS</t>
        </is>
      </c>
      <c r="M58" t="n">
        <v>3</v>
      </c>
      <c r="N58" t="n">
        <v>2</v>
      </c>
      <c r="O58" t="n">
        <v>3</v>
      </c>
      <c r="P58" t="n">
        <v>5</v>
      </c>
      <c r="Q58" t="n">
        <v>1</v>
      </c>
      <c r="R58" t="inlineStr">
        <is>
          <t>No</t>
        </is>
      </c>
      <c r="S58" t="inlineStr">
        <is>
          <t>Very supportive during class.</t>
        </is>
      </c>
      <c r="T58" t="n">
        <v>2.67</v>
      </c>
      <c r="U58" t="n">
        <v>35</v>
      </c>
      <c r="V58" t="n">
        <v>6</v>
      </c>
      <c r="W58" t="n">
        <v>2</v>
      </c>
      <c r="X58" t="n">
        <v>0</v>
      </c>
      <c r="Y58" t="n">
        <v>4</v>
      </c>
      <c r="Z58" t="inlineStr">
        <is>
          <t>Yes</t>
        </is>
      </c>
      <c r="AA58">
        <f>IF(T58="","Missing",IF(T58&gt;=4,"High",IF(T58&gt;=3,"Moderate","Low")))</f>
        <v/>
      </c>
      <c r="AB58">
        <f>IF(COUNT(M58:O58)&lt;3,"Insufficient data",IF(MIN(M58:O58)=M58,"Teaching",IF(MIN(M58:O58)=N58,"Knowledge",IF(MIN(M58:O58)=O58,"Interaction",IF(P58&gt;=4,"High difficulty",IF(W58&gt;48,"Slow response","Balanced"))))))</f>
        <v/>
      </c>
      <c r="AC58">
        <f>IF(OR(T58&lt;3,P58&gt;=4,W58&gt;48),"At Risk","Stable")</f>
        <v/>
      </c>
      <c r="AD58">
        <f>IF(COUNT(M58:O58)&lt;3,"",ROUND((M58*0.30+N58*0.25+O58*0.25+(6-P58)*0.10+IF(W58&lt;=24,5,IF(W58&lt;=48,3,1))*0.10),2))</f>
        <v/>
      </c>
      <c r="AE58">
        <f>IF(AD58="","Unknown",IF(AD58&gt;=3.5,"Yes","No"))</f>
        <v/>
      </c>
      <c r="AF58">
        <f>IF(AC58="At Risk",IF(M58&lt;3,"Improve teaching clarity",IF(O58&lt;3,"Increase student interaction",IF(P58&gt;=4,"Reduce perceived difficulty with examples",IF(W58&gt;48,"Improve response time","Review student feedback")))),"Maintain current approach")</f>
        <v/>
      </c>
      <c r="AG58">
        <f>IF(AC58="At Risk","High",IF(T58&lt;4,"Medium","Low"))</f>
        <v/>
      </c>
    </row>
    <row r="59">
      <c r="A59" t="inlineStr">
        <is>
          <t>P008</t>
        </is>
      </c>
      <c r="B59" t="inlineStr">
        <is>
          <t>Prof. Karan Bhatia</t>
        </is>
      </c>
      <c r="C59" t="inlineStr">
        <is>
          <t>Liberal Studies</t>
        </is>
      </c>
      <c r="D59" t="inlineStr">
        <is>
          <t>B.A. (Sociology)</t>
        </is>
      </c>
      <c r="E59" t="inlineStr">
        <is>
          <t>M.A. (Sociology)</t>
        </is>
      </c>
      <c r="G59" t="inlineStr">
        <is>
          <t>M.A.</t>
        </is>
      </c>
      <c r="H59" t="inlineStr">
        <is>
          <t>Sociology</t>
        </is>
      </c>
      <c r="I59" t="inlineStr">
        <is>
          <t>Critical Thinking</t>
        </is>
      </c>
      <c r="J59" t="inlineStr">
        <is>
          <t>Communication Skills</t>
        </is>
      </c>
      <c r="K59" t="inlineStr">
        <is>
          <t>2nd</t>
        </is>
      </c>
      <c r="L59" t="inlineStr">
        <is>
          <t>ECE</t>
        </is>
      </c>
      <c r="M59" t="n">
        <v>2</v>
      </c>
      <c r="N59" t="n">
        <v>3</v>
      </c>
      <c r="O59" t="n">
        <v>4</v>
      </c>
      <c r="P59" t="n">
        <v>3</v>
      </c>
      <c r="Q59" t="n">
        <v>5</v>
      </c>
      <c r="R59" t="inlineStr">
        <is>
          <t>No</t>
        </is>
      </c>
      <c r="S59" t="inlineStr">
        <is>
          <t>Very supportive during class.</t>
        </is>
      </c>
      <c r="T59" t="n">
        <v>3</v>
      </c>
      <c r="U59" t="n">
        <v>21</v>
      </c>
      <c r="V59" t="n">
        <v>0</v>
      </c>
      <c r="W59" t="n">
        <v>6</v>
      </c>
      <c r="X59" t="n">
        <v>33</v>
      </c>
      <c r="Y59" t="n">
        <v>6</v>
      </c>
      <c r="Z59" t="inlineStr">
        <is>
          <t>No</t>
        </is>
      </c>
      <c r="AA59">
        <f>IF(T59="","Missing",IF(T59&gt;=4,"High",IF(T59&gt;=3,"Moderate","Low")))</f>
        <v/>
      </c>
      <c r="AB59">
        <f>IF(COUNT(M59:O59)&lt;3,"Insufficient data",IF(MIN(M59:O59)=M59,"Teaching",IF(MIN(M59:O59)=N59,"Knowledge",IF(MIN(M59:O59)=O59,"Interaction",IF(P59&gt;=4,"High difficulty",IF(W59&gt;48,"Slow response","Balanced"))))))</f>
        <v/>
      </c>
      <c r="AC59">
        <f>IF(OR(T59&lt;3,P59&gt;=4,W59&gt;48),"At Risk","Stable")</f>
        <v/>
      </c>
      <c r="AD59">
        <f>IF(COUNT(M59:O59)&lt;3,"",ROUND((M59*0.30+N59*0.25+O59*0.25+(6-P59)*0.10+IF(W59&lt;=24,5,IF(W59&lt;=48,3,1))*0.10),2))</f>
        <v/>
      </c>
      <c r="AE59">
        <f>IF(AD59="","Unknown",IF(AD59&gt;=3.5,"Yes","No"))</f>
        <v/>
      </c>
      <c r="AF59">
        <f>IF(AC59="At Risk",IF(M59&lt;3,"Improve teaching clarity",IF(O59&lt;3,"Increase student interaction",IF(P59&gt;=4,"Reduce perceived difficulty with examples",IF(W59&gt;48,"Improve response time","Review student feedback")))),"Maintain current approach")</f>
        <v/>
      </c>
      <c r="AG59">
        <f>IF(AC59="At Risk","High",IF(T59&lt;4,"Medium","Low"))</f>
        <v/>
      </c>
    </row>
    <row r="60">
      <c r="A60" t="inlineStr">
        <is>
          <t>P009</t>
        </is>
      </c>
      <c r="B60" t="inlineStr">
        <is>
          <t>Dr. Priya Nanda</t>
        </is>
      </c>
      <c r="C60" t="inlineStr">
        <is>
          <t>Computer Science</t>
        </is>
      </c>
      <c r="D60" t="inlineStr">
        <is>
          <t>B.Tech (Computer Science)</t>
        </is>
      </c>
      <c r="E60" t="inlineStr">
        <is>
          <t>M.Tech (Machine Learning)</t>
        </is>
      </c>
      <c r="F60" t="inlineStr">
        <is>
          <t>Ph.D. in Computer Science</t>
        </is>
      </c>
      <c r="G60" t="inlineStr">
        <is>
          <t>Ph.D.</t>
        </is>
      </c>
      <c r="H60" t="inlineStr">
        <is>
          <t>Machine Learning</t>
        </is>
      </c>
      <c r="I60" t="inlineStr">
        <is>
          <t>Artificial Intelligence</t>
        </is>
      </c>
      <c r="J60" t="inlineStr">
        <is>
          <t>Data Mining</t>
        </is>
      </c>
      <c r="K60" t="inlineStr">
        <is>
          <t>2nd</t>
        </is>
      </c>
      <c r="L60" t="inlineStr">
        <is>
          <t>Liberal Studies</t>
        </is>
      </c>
      <c r="M60" t="n">
        <v>4</v>
      </c>
      <c r="N60" t="n">
        <v>3</v>
      </c>
      <c r="O60" t="n">
        <v>2</v>
      </c>
      <c r="P60" t="n">
        <v>3</v>
      </c>
      <c r="Q60" t="n">
        <v>4</v>
      </c>
      <c r="R60" t="inlineStr">
        <is>
          <t>No</t>
        </is>
      </c>
      <c r="S60" t="inlineStr">
        <is>
          <t>Interactive sessions.</t>
        </is>
      </c>
      <c r="T60" t="n">
        <v>3</v>
      </c>
      <c r="U60" t="n">
        <v>38</v>
      </c>
      <c r="V60" t="n">
        <v>6</v>
      </c>
      <c r="W60" t="n">
        <v>4</v>
      </c>
      <c r="X60" t="n">
        <v>30</v>
      </c>
      <c r="Y60" t="n">
        <v>7</v>
      </c>
      <c r="Z60" t="inlineStr">
        <is>
          <t>Yes</t>
        </is>
      </c>
      <c r="AA60">
        <f>IF(T60="","Missing",IF(T60&gt;=4,"High",IF(T60&gt;=3,"Moderate","Low")))</f>
        <v/>
      </c>
      <c r="AB60">
        <f>IF(COUNT(M60:O60)&lt;3,"Insufficient data",IF(MIN(M60:O60)=M60,"Teaching",IF(MIN(M60:O60)=N60,"Knowledge",IF(MIN(M60:O60)=O60,"Interaction",IF(P60&gt;=4,"High difficulty",IF(W60&gt;48,"Slow response","Balanced"))))))</f>
        <v/>
      </c>
      <c r="AC60">
        <f>IF(OR(T60&lt;3,P60&gt;=4,W60&gt;48),"At Risk","Stable")</f>
        <v/>
      </c>
      <c r="AD60">
        <f>IF(COUNT(M60:O60)&lt;3,"",ROUND((M60*0.30+N60*0.25+O60*0.25+(6-P60)*0.10+IF(W60&lt;=24,5,IF(W60&lt;=48,3,1))*0.10),2))</f>
        <v/>
      </c>
      <c r="AE60">
        <f>IF(AD60="","Unknown",IF(AD60&gt;=3.5,"Yes","No"))</f>
        <v/>
      </c>
      <c r="AF60">
        <f>IF(AC60="At Risk",IF(M60&lt;3,"Improve teaching clarity",IF(O60&lt;3,"Increase student interaction",IF(P60&gt;=4,"Reduce perceived difficulty with examples",IF(W60&gt;48,"Improve response time","Review student feedback")))),"Maintain current approach")</f>
        <v/>
      </c>
      <c r="AG60">
        <f>IF(AC60="At Risk","High",IF(T60&lt;4,"Medium","Low"))</f>
        <v/>
      </c>
    </row>
    <row r="61">
      <c r="A61" t="inlineStr">
        <is>
          <t>P010</t>
        </is>
      </c>
      <c r="B61" t="inlineStr">
        <is>
          <t>Dr. Mohit Arora</t>
        </is>
      </c>
      <c r="C61" t="inlineStr">
        <is>
          <t>Business</t>
        </is>
      </c>
      <c r="D61" t="inlineStr">
        <is>
          <t>BBA</t>
        </is>
      </c>
      <c r="E61" t="inlineStr">
        <is>
          <t>MBA (Business Analytics)</t>
        </is>
      </c>
      <c r="G61" t="inlineStr">
        <is>
          <t>MBA</t>
        </is>
      </c>
      <c r="H61" t="inlineStr">
        <is>
          <t>Business Analytics</t>
        </is>
      </c>
      <c r="I61" t="inlineStr">
        <is>
          <t>Operations Management</t>
        </is>
      </c>
      <c r="J61" t="inlineStr">
        <is>
          <t>Excel for Business</t>
        </is>
      </c>
      <c r="K61" t="inlineStr">
        <is>
          <t>2nd</t>
        </is>
      </c>
      <c r="L61" t="inlineStr">
        <is>
          <t>CSE</t>
        </is>
      </c>
      <c r="M61" t="n">
        <v>2</v>
      </c>
      <c r="N61" t="n">
        <v>2</v>
      </c>
      <c r="O61" t="n">
        <v>4</v>
      </c>
      <c r="P61" t="n">
        <v>2</v>
      </c>
      <c r="Q61" t="n">
        <v>4</v>
      </c>
      <c r="R61" t="inlineStr">
        <is>
          <t>No</t>
        </is>
      </c>
      <c r="S61" t="inlineStr">
        <is>
          <t>Very supportive during class.</t>
        </is>
      </c>
      <c r="T61" t="n">
        <v>2.67</v>
      </c>
      <c r="U61" t="n">
        <v>26</v>
      </c>
      <c r="V61" t="n">
        <v>1</v>
      </c>
      <c r="W61" t="n">
        <v>48</v>
      </c>
      <c r="X61" t="n">
        <v>27</v>
      </c>
      <c r="Y61" t="n">
        <v>11</v>
      </c>
      <c r="Z61" t="inlineStr">
        <is>
          <t>Yes</t>
        </is>
      </c>
      <c r="AA61">
        <f>IF(T61="","Missing",IF(T61&gt;=4,"High",IF(T61&gt;=3,"Moderate","Low")))</f>
        <v/>
      </c>
      <c r="AB61">
        <f>IF(COUNT(M61:O61)&lt;3,"Insufficient data",IF(MIN(M61:O61)=M61,"Teaching",IF(MIN(M61:O61)=N61,"Knowledge",IF(MIN(M61:O61)=O61,"Interaction",IF(P61&gt;=4,"High difficulty",IF(W61&gt;48,"Slow response","Balanced"))))))</f>
        <v/>
      </c>
      <c r="AC61">
        <f>IF(OR(T61&lt;3,P61&gt;=4,W61&gt;48),"At Risk","Stable")</f>
        <v/>
      </c>
      <c r="AD61">
        <f>IF(COUNT(M61:O61)&lt;3,"",ROUND((M61*0.30+N61*0.25+O61*0.25+(6-P61)*0.10+IF(W61&lt;=24,5,IF(W61&lt;=48,3,1))*0.10),2))</f>
        <v/>
      </c>
      <c r="AE61">
        <f>IF(AD61="","Unknown",IF(AD61&gt;=3.5,"Yes","No"))</f>
        <v/>
      </c>
      <c r="AF61">
        <f>IF(AC61="At Risk",IF(M61&lt;3,"Improve teaching clarity",IF(O61&lt;3,"Increase student interaction",IF(P61&gt;=4,"Reduce perceived difficulty with examples",IF(W61&gt;48,"Improve response time","Review student feedback")))),"Maintain current approach")</f>
        <v/>
      </c>
      <c r="AG61">
        <f>IF(AC61="At Risk","High",IF(T61&lt;4,"Medium","Low"))</f>
        <v/>
      </c>
    </row>
    <row r="62">
      <c r="A62" t="inlineStr">
        <is>
          <t>P001</t>
        </is>
      </c>
      <c r="B62" t="inlineStr">
        <is>
          <t>Dr. Aditi Sharma</t>
        </is>
      </c>
      <c r="C62" t="inlineStr">
        <is>
          <t>Computer Science</t>
        </is>
      </c>
      <c r="D62" t="inlineStr">
        <is>
          <t>B.Tech (Computer Science)</t>
        </is>
      </c>
      <c r="E62" t="inlineStr">
        <is>
          <t>M.Tech (Computer Science &amp; Engineering)</t>
        </is>
      </c>
      <c r="F62" t="inlineStr">
        <is>
          <t>Ph.D. in Data Science</t>
        </is>
      </c>
      <c r="G62" t="inlineStr">
        <is>
          <t>Ph.D.</t>
        </is>
      </c>
      <c r="H62" t="inlineStr">
        <is>
          <t>Data Science</t>
        </is>
      </c>
      <c r="I62" t="inlineStr">
        <is>
          <t>Python Programming</t>
        </is>
      </c>
      <c r="J62" t="inlineStr">
        <is>
          <t>Data Visualization</t>
        </is>
      </c>
      <c r="K62" t="inlineStr">
        <is>
          <t>4th</t>
        </is>
      </c>
      <c r="L62" t="inlineStr">
        <is>
          <t>Law</t>
        </is>
      </c>
      <c r="M62" t="n">
        <v>5</v>
      </c>
      <c r="N62" t="n">
        <v>4</v>
      </c>
      <c r="O62" t="n">
        <v>4</v>
      </c>
      <c r="P62" t="n">
        <v>3</v>
      </c>
      <c r="Q62" t="n">
        <v>4</v>
      </c>
      <c r="R62" t="inlineStr">
        <is>
          <t>Yes</t>
        </is>
      </c>
      <c r="S62" t="inlineStr">
        <is>
          <t>Excellent real-world case studies.</t>
        </is>
      </c>
      <c r="T62" t="n">
        <v>4.33</v>
      </c>
      <c r="U62" t="n">
        <v>18</v>
      </c>
      <c r="V62" t="n">
        <v>6</v>
      </c>
      <c r="W62" t="n">
        <v>6</v>
      </c>
      <c r="X62" t="n">
        <v>32</v>
      </c>
      <c r="Y62" t="n">
        <v>2</v>
      </c>
      <c r="Z62" t="inlineStr">
        <is>
          <t>Yes</t>
        </is>
      </c>
      <c r="AA62">
        <f>IF(T62="","Missing",IF(T62&gt;=4,"High",IF(T62&gt;=3,"Moderate","Low")))</f>
        <v/>
      </c>
      <c r="AB62">
        <f>IF(COUNT(M62:O62)&lt;3,"Insufficient data",IF(MIN(M62:O62)=M62,"Teaching",IF(MIN(M62:O62)=N62,"Knowledge",IF(MIN(M62:O62)=O62,"Interaction",IF(P62&gt;=4,"High difficulty",IF(W62&gt;48,"Slow response","Balanced"))))))</f>
        <v/>
      </c>
      <c r="AC62">
        <f>IF(OR(T62&lt;3,P62&gt;=4,W62&gt;48),"At Risk","Stable")</f>
        <v/>
      </c>
      <c r="AD62">
        <f>IF(COUNT(M62:O62)&lt;3,"",ROUND((M62*0.30+N62*0.25+O62*0.25+(6-P62)*0.10+IF(W62&lt;=24,5,IF(W62&lt;=48,3,1))*0.10),2))</f>
        <v/>
      </c>
      <c r="AE62">
        <f>IF(AD62="","Unknown",IF(AD62&gt;=3.5,"Yes","No"))</f>
        <v/>
      </c>
      <c r="AF62">
        <f>IF(AC62="At Risk",IF(M62&lt;3,"Improve teaching clarity",IF(O62&lt;3,"Increase student interaction",IF(P62&gt;=4,"Reduce perceived difficulty with examples",IF(W62&gt;48,"Improve response time","Review student feedback")))),"Maintain current approach")</f>
        <v/>
      </c>
      <c r="AG62">
        <f>IF(AC62="At Risk","High",IF(T62&lt;4,"Medium","Low"))</f>
        <v/>
      </c>
    </row>
    <row r="63">
      <c r="A63" t="inlineStr">
        <is>
          <t>P002</t>
        </is>
      </c>
      <c r="B63" t="inlineStr">
        <is>
          <t>Dr. Rahul Mehta</t>
        </is>
      </c>
      <c r="C63" t="inlineStr">
        <is>
          <t>Computer Science</t>
        </is>
      </c>
      <c r="D63" t="inlineStr">
        <is>
          <t>B.Tech (Information Technology)</t>
        </is>
      </c>
      <c r="E63" t="inlineStr">
        <is>
          <t>M.Tech (Computer Science)</t>
        </is>
      </c>
      <c r="F63" t="inlineStr">
        <is>
          <t>Ph.D. in Artificial Intelligence</t>
        </is>
      </c>
      <c r="G63" t="inlineStr">
        <is>
          <t>Ph.D.</t>
        </is>
      </c>
      <c r="H63" t="inlineStr">
        <is>
          <t>Artificial Intelligence</t>
        </is>
      </c>
      <c r="I63" t="inlineStr">
        <is>
          <t>Data Structures</t>
        </is>
      </c>
      <c r="J63" t="inlineStr">
        <is>
          <t>Computer Networks</t>
        </is>
      </c>
      <c r="K63" t="inlineStr">
        <is>
          <t>2nd</t>
        </is>
      </c>
      <c r="L63" t="inlineStr">
        <is>
          <t>AI &amp; DS</t>
        </is>
      </c>
      <c r="M63" t="n">
        <v>5</v>
      </c>
      <c r="N63" t="n">
        <v>4</v>
      </c>
      <c r="O63" t="n">
        <v>4</v>
      </c>
      <c r="P63" t="n">
        <v>4</v>
      </c>
      <c r="Q63" t="n">
        <v>2</v>
      </c>
      <c r="R63" t="inlineStr">
        <is>
          <t>Yes</t>
        </is>
      </c>
      <c r="S63" t="inlineStr">
        <is>
          <t>Assignments are difficult.</t>
        </is>
      </c>
      <c r="T63" t="n">
        <v>4.33</v>
      </c>
      <c r="U63" t="n">
        <v>42</v>
      </c>
      <c r="V63" t="n">
        <v>2</v>
      </c>
      <c r="W63" t="n">
        <v>2</v>
      </c>
      <c r="X63" t="n">
        <v>31</v>
      </c>
      <c r="Y63" t="n">
        <v>5</v>
      </c>
      <c r="Z63" t="inlineStr">
        <is>
          <t>Yes</t>
        </is>
      </c>
      <c r="AA63">
        <f>IF(T63="","Missing",IF(T63&gt;=4,"High",IF(T63&gt;=3,"Moderate","Low")))</f>
        <v/>
      </c>
      <c r="AB63">
        <f>IF(COUNT(M63:O63)&lt;3,"Insufficient data",IF(MIN(M63:O63)=M63,"Teaching",IF(MIN(M63:O63)=N63,"Knowledge",IF(MIN(M63:O63)=O63,"Interaction",IF(P63&gt;=4,"High difficulty",IF(W63&gt;48,"Slow response","Balanced"))))))</f>
        <v/>
      </c>
      <c r="AC63">
        <f>IF(OR(T63&lt;3,P63&gt;=4,W63&gt;48),"At Risk","Stable")</f>
        <v/>
      </c>
      <c r="AD63">
        <f>IF(COUNT(M63:O63)&lt;3,"",ROUND((M63*0.30+N63*0.25+O63*0.25+(6-P63)*0.10+IF(W63&lt;=24,5,IF(W63&lt;=48,3,1))*0.10),2))</f>
        <v/>
      </c>
      <c r="AE63">
        <f>IF(AD63="","Unknown",IF(AD63&gt;=3.5,"Yes","No"))</f>
        <v/>
      </c>
      <c r="AF63">
        <f>IF(AC63="At Risk",IF(M63&lt;3,"Improve teaching clarity",IF(O63&lt;3,"Increase student interaction",IF(P63&gt;=4,"Reduce perceived difficulty with examples",IF(W63&gt;48,"Improve response time","Review student feedback")))),"Maintain current approach")</f>
        <v/>
      </c>
      <c r="AG63">
        <f>IF(AC63="At Risk","High",IF(T63&lt;4,"Medium","Low"))</f>
        <v/>
      </c>
    </row>
    <row r="64">
      <c r="A64" t="inlineStr">
        <is>
          <t>P003</t>
        </is>
      </c>
      <c r="B64" t="inlineStr">
        <is>
          <t>Prof. Neha Kapoor</t>
        </is>
      </c>
      <c r="C64" t="inlineStr">
        <is>
          <t>Business</t>
        </is>
      </c>
      <c r="D64" t="inlineStr">
        <is>
          <t>BBA</t>
        </is>
      </c>
      <c r="E64" t="inlineStr">
        <is>
          <t>MBA (Marketing)</t>
        </is>
      </c>
      <c r="F64" t="inlineStr">
        <is>
          <t>Ph.D. in Marketing Management</t>
        </is>
      </c>
      <c r="G64" t="inlineStr">
        <is>
          <t>Ph.D.</t>
        </is>
      </c>
      <c r="H64" t="inlineStr">
        <is>
          <t>Marketing</t>
        </is>
      </c>
      <c r="I64" t="inlineStr">
        <is>
          <t>Consumer Behaviour</t>
        </is>
      </c>
      <c r="J64" t="inlineStr">
        <is>
          <t>Digital Marketing</t>
        </is>
      </c>
      <c r="K64" t="inlineStr">
        <is>
          <t>4th</t>
        </is>
      </c>
      <c r="L64" t="inlineStr">
        <is>
          <t>AI &amp; DS</t>
        </is>
      </c>
      <c r="M64" t="n">
        <v>5</v>
      </c>
      <c r="N64" t="n">
        <v>5</v>
      </c>
      <c r="O64" t="n">
        <v>2</v>
      </c>
      <c r="P64" t="n">
        <v>4</v>
      </c>
      <c r="Q64" t="n">
        <v>1</v>
      </c>
      <c r="R64" t="inlineStr">
        <is>
          <t>Yes</t>
        </is>
      </c>
      <c r="T64" t="n">
        <v>4</v>
      </c>
      <c r="U64" t="n">
        <v>18</v>
      </c>
      <c r="V64" t="n">
        <v>4</v>
      </c>
      <c r="W64" t="n">
        <v>4</v>
      </c>
      <c r="X64" t="n">
        <v>26</v>
      </c>
      <c r="Y64" t="n">
        <v>1</v>
      </c>
      <c r="Z64" t="inlineStr">
        <is>
          <t>Yes</t>
        </is>
      </c>
      <c r="AA64">
        <f>IF(T64="","Missing",IF(T64&gt;=4,"High",IF(T64&gt;=3,"Moderate","Low")))</f>
        <v/>
      </c>
      <c r="AB64">
        <f>IF(COUNT(M64:O64)&lt;3,"Insufficient data",IF(MIN(M64:O64)=M64,"Teaching",IF(MIN(M64:O64)=N64,"Knowledge",IF(MIN(M64:O64)=O64,"Interaction",IF(P64&gt;=4,"High difficulty",IF(W64&gt;48,"Slow response","Balanced"))))))</f>
        <v/>
      </c>
      <c r="AC64">
        <f>IF(OR(T64&lt;3,P64&gt;=4,W64&gt;48),"At Risk","Stable")</f>
        <v/>
      </c>
      <c r="AD64">
        <f>IF(COUNT(M64:O64)&lt;3,"",ROUND((M64*0.30+N64*0.25+O64*0.25+(6-P64)*0.10+IF(W64&lt;=24,5,IF(W64&lt;=48,3,1))*0.10),2))</f>
        <v/>
      </c>
      <c r="AE64">
        <f>IF(AD64="","Unknown",IF(AD64&gt;=3.5,"Yes","No"))</f>
        <v/>
      </c>
      <c r="AF64">
        <f>IF(AC64="At Risk",IF(M64&lt;3,"Improve teaching clarity",IF(O64&lt;3,"Increase student interaction",IF(P64&gt;=4,"Reduce perceived difficulty with examples",IF(W64&gt;48,"Improve response time","Review student feedback")))),"Maintain current approach")</f>
        <v/>
      </c>
      <c r="AG64">
        <f>IF(AC64="At Risk","High",IF(T64&lt;4,"Medium","Low"))</f>
        <v/>
      </c>
    </row>
    <row r="65">
      <c r="A65" t="inlineStr">
        <is>
          <t>P004</t>
        </is>
      </c>
      <c r="B65" t="inlineStr">
        <is>
          <t>Dr. Arjun Verma</t>
        </is>
      </c>
      <c r="C65" t="inlineStr">
        <is>
          <t>Business</t>
        </is>
      </c>
      <c r="D65" t="inlineStr">
        <is>
          <t>B.Com</t>
        </is>
      </c>
      <c r="E65" t="inlineStr">
        <is>
          <t>MBA (Finance)</t>
        </is>
      </c>
      <c r="F65" t="inlineStr">
        <is>
          <t>Ph.D. in Finance</t>
        </is>
      </c>
      <c r="G65" t="inlineStr">
        <is>
          <t>Ph.D.</t>
        </is>
      </c>
      <c r="H65" t="inlineStr">
        <is>
          <t>Finance</t>
        </is>
      </c>
      <c r="I65" t="inlineStr">
        <is>
          <t>Investment Analysis</t>
        </is>
      </c>
      <c r="J65" t="inlineStr">
        <is>
          <t>Business Statistics</t>
        </is>
      </c>
      <c r="K65" t="inlineStr">
        <is>
          <t>4th</t>
        </is>
      </c>
      <c r="L65" t="inlineStr">
        <is>
          <t>Business</t>
        </is>
      </c>
      <c r="M65" t="n">
        <v>3</v>
      </c>
      <c r="N65" t="n">
        <v>3</v>
      </c>
      <c r="O65" t="n">
        <v>5</v>
      </c>
      <c r="P65" t="n">
        <v>1</v>
      </c>
      <c r="Q65" t="n">
        <v>1</v>
      </c>
      <c r="R65" t="inlineStr">
        <is>
          <t>Yes</t>
        </is>
      </c>
      <c r="S65" t="inlineStr">
        <is>
          <t>Needs more practical examples.</t>
        </is>
      </c>
      <c r="T65" t="n">
        <v>3.67</v>
      </c>
      <c r="U65" t="n">
        <v>28</v>
      </c>
      <c r="V65" t="n">
        <v>1</v>
      </c>
      <c r="W65" t="n">
        <v>4</v>
      </c>
      <c r="X65" t="n">
        <v>33</v>
      </c>
      <c r="Y65" t="n">
        <v>14</v>
      </c>
      <c r="Z65" t="inlineStr">
        <is>
          <t>Yes</t>
        </is>
      </c>
      <c r="AA65">
        <f>IF(T65="","Missing",IF(T65&gt;=4,"High",IF(T65&gt;=3,"Moderate","Low")))</f>
        <v/>
      </c>
      <c r="AB65">
        <f>IF(COUNT(M65:O65)&lt;3,"Insufficient data",IF(MIN(M65:O65)=M65,"Teaching",IF(MIN(M65:O65)=N65,"Knowledge",IF(MIN(M65:O65)=O65,"Interaction",IF(P65&gt;=4,"High difficulty",IF(W65&gt;48,"Slow response","Balanced"))))))</f>
        <v/>
      </c>
      <c r="AC65">
        <f>IF(OR(T65&lt;3,P65&gt;=4,W65&gt;48),"At Risk","Stable")</f>
        <v/>
      </c>
      <c r="AD65">
        <f>IF(COUNT(M65:O65)&lt;3,"",ROUND((M65*0.30+N65*0.25+O65*0.25+(6-P65)*0.10+IF(W65&lt;=24,5,IF(W65&lt;=48,3,1))*0.10),2))</f>
        <v/>
      </c>
      <c r="AE65">
        <f>IF(AD65="","Unknown",IF(AD65&gt;=3.5,"Yes","No"))</f>
        <v/>
      </c>
      <c r="AF65">
        <f>IF(AC65="At Risk",IF(M65&lt;3,"Improve teaching clarity",IF(O65&lt;3,"Increase student interaction",IF(P65&gt;=4,"Reduce perceived difficulty with examples",IF(W65&gt;48,"Improve response time","Review student feedback")))),"Maintain current approach")</f>
        <v/>
      </c>
      <c r="AG65">
        <f>IF(AC65="At Risk","High",IF(T65&lt;4,"Medium","Low"))</f>
        <v/>
      </c>
    </row>
    <row r="66">
      <c r="A66" t="inlineStr">
        <is>
          <t>P005</t>
        </is>
      </c>
      <c r="B66" t="inlineStr">
        <is>
          <t>Dr. Simran Kaur</t>
        </is>
      </c>
      <c r="C66" t="inlineStr">
        <is>
          <t>Law</t>
        </is>
      </c>
      <c r="D66" t="inlineStr">
        <is>
          <t>B.A. LL.B. (Hons.)</t>
        </is>
      </c>
      <c r="E66" t="inlineStr">
        <is>
          <t>LL.M. (Constitutional Law)</t>
        </is>
      </c>
      <c r="F66" t="inlineStr">
        <is>
          <t>Ph.D. in Constitutional Law</t>
        </is>
      </c>
      <c r="G66" t="inlineStr">
        <is>
          <t>Ph.D.</t>
        </is>
      </c>
      <c r="H66" t="inlineStr">
        <is>
          <t>Constitutional Law</t>
        </is>
      </c>
      <c r="I66" t="inlineStr">
        <is>
          <t>Legal Research</t>
        </is>
      </c>
      <c r="J66" t="inlineStr">
        <is>
          <t>Jurisprudence</t>
        </is>
      </c>
      <c r="K66" t="inlineStr">
        <is>
          <t>3rd</t>
        </is>
      </c>
      <c r="L66" t="inlineStr">
        <is>
          <t>Business</t>
        </is>
      </c>
      <c r="M66" t="n">
        <v>4</v>
      </c>
      <c r="N66" t="n">
        <v>5</v>
      </c>
      <c r="O66" t="n">
        <v>5</v>
      </c>
      <c r="P66" t="n">
        <v>4</v>
      </c>
      <c r="Q66" t="n">
        <v>2</v>
      </c>
      <c r="R66" t="inlineStr">
        <is>
          <t>Yes</t>
        </is>
      </c>
      <c r="S66" t="inlineStr">
        <is>
          <t>Very supportive during class.</t>
        </is>
      </c>
      <c r="T66" t="n">
        <v>4.67</v>
      </c>
      <c r="U66" t="n">
        <v>18</v>
      </c>
      <c r="V66" t="n">
        <v>0</v>
      </c>
      <c r="W66" t="n">
        <v>6</v>
      </c>
      <c r="X66" t="n">
        <v>5</v>
      </c>
      <c r="Y66" t="n">
        <v>11</v>
      </c>
      <c r="Z66" t="inlineStr">
        <is>
          <t>No</t>
        </is>
      </c>
      <c r="AA66">
        <f>IF(T66="","Missing",IF(T66&gt;=4,"High",IF(T66&gt;=3,"Moderate","Low")))</f>
        <v/>
      </c>
      <c r="AB66">
        <f>IF(COUNT(M66:O66)&lt;3,"Insufficient data",IF(MIN(M66:O66)=M66,"Teaching",IF(MIN(M66:O66)=N66,"Knowledge",IF(MIN(M66:O66)=O66,"Interaction",IF(P66&gt;=4,"High difficulty",IF(W66&gt;48,"Slow response","Balanced"))))))</f>
        <v/>
      </c>
      <c r="AC66">
        <f>IF(OR(T66&lt;3,P66&gt;=4,W66&gt;48),"At Risk","Stable")</f>
        <v/>
      </c>
      <c r="AD66">
        <f>IF(COUNT(M66:O66)&lt;3,"",ROUND((M66*0.30+N66*0.25+O66*0.25+(6-P66)*0.10+IF(W66&lt;=24,5,IF(W66&lt;=48,3,1))*0.10),2))</f>
        <v/>
      </c>
      <c r="AE66">
        <f>IF(AD66="","Unknown",IF(AD66&gt;=3.5,"Yes","No"))</f>
        <v/>
      </c>
      <c r="AF66">
        <f>IF(AC66="At Risk",IF(M66&lt;3,"Improve teaching clarity",IF(O66&lt;3,"Increase student interaction",IF(P66&gt;=4,"Reduce perceived difficulty with examples",IF(W66&gt;48,"Improve response time","Review student feedback")))),"Maintain current approach")</f>
        <v/>
      </c>
      <c r="AG66">
        <f>IF(AC66="At Risk","High",IF(T66&lt;4,"Medium","Low"))</f>
        <v/>
      </c>
    </row>
    <row r="67">
      <c r="A67" t="inlineStr">
        <is>
          <t>P006</t>
        </is>
      </c>
      <c r="B67" t="inlineStr">
        <is>
          <t>Prof. Vivek Saini</t>
        </is>
      </c>
      <c r="C67" t="inlineStr">
        <is>
          <t>Law</t>
        </is>
      </c>
      <c r="D67" t="inlineStr">
        <is>
          <t>B.A. LL.B.</t>
        </is>
      </c>
      <c r="E67" t="inlineStr">
        <is>
          <t>LL.M. (Corporate Law)</t>
        </is>
      </c>
      <c r="G67" t="inlineStr">
        <is>
          <t>LL.M.</t>
        </is>
      </c>
      <c r="H67" t="inlineStr">
        <is>
          <t>Corporate Law</t>
        </is>
      </c>
      <c r="I67" t="inlineStr">
        <is>
          <t>Cyber Law</t>
        </is>
      </c>
      <c r="J67" t="inlineStr">
        <is>
          <t>IPR</t>
        </is>
      </c>
      <c r="K67" t="inlineStr">
        <is>
          <t>3rd</t>
        </is>
      </c>
      <c r="L67" t="inlineStr">
        <is>
          <t>Business</t>
        </is>
      </c>
      <c r="M67" t="n">
        <v>2</v>
      </c>
      <c r="N67" t="n">
        <v>3</v>
      </c>
      <c r="O67" t="n">
        <v>3</v>
      </c>
      <c r="P67" t="n">
        <v>3</v>
      </c>
      <c r="Q67" t="n">
        <v>4</v>
      </c>
      <c r="R67" t="inlineStr">
        <is>
          <t>Yes</t>
        </is>
      </c>
      <c r="S67" t="inlineStr">
        <is>
          <t>Explains concepts clearly.</t>
        </is>
      </c>
      <c r="T67" t="n">
        <v>2.67</v>
      </c>
      <c r="U67" t="n">
        <v>40</v>
      </c>
      <c r="V67" t="n">
        <v>3</v>
      </c>
      <c r="W67" t="n">
        <v>4</v>
      </c>
      <c r="X67" t="n">
        <v>23</v>
      </c>
      <c r="Y67" t="n">
        <v>14</v>
      </c>
      <c r="Z67" t="inlineStr">
        <is>
          <t>Yes</t>
        </is>
      </c>
      <c r="AA67">
        <f>IF(T67="","Missing",IF(T67&gt;=4,"High",IF(T67&gt;=3,"Moderate","Low")))</f>
        <v/>
      </c>
      <c r="AB67">
        <f>IF(COUNT(M67:O67)&lt;3,"Insufficient data",IF(MIN(M67:O67)=M67,"Teaching",IF(MIN(M67:O67)=N67,"Knowledge",IF(MIN(M67:O67)=O67,"Interaction",IF(P67&gt;=4,"High difficulty",IF(W67&gt;48,"Slow response","Balanced"))))))</f>
        <v/>
      </c>
      <c r="AC67">
        <f>IF(OR(T67&lt;3,P67&gt;=4,W67&gt;48),"At Risk","Stable")</f>
        <v/>
      </c>
      <c r="AD67">
        <f>IF(COUNT(M67:O67)&lt;3,"",ROUND((M67*0.30+N67*0.25+O67*0.25+(6-P67)*0.10+IF(W67&lt;=24,5,IF(W67&lt;=48,3,1))*0.10),2))</f>
        <v/>
      </c>
      <c r="AE67">
        <f>IF(AD67="","Unknown",IF(AD67&gt;=3.5,"Yes","No"))</f>
        <v/>
      </c>
      <c r="AF67">
        <f>IF(AC67="At Risk",IF(M67&lt;3,"Improve teaching clarity",IF(O67&lt;3,"Increase student interaction",IF(P67&gt;=4,"Reduce perceived difficulty with examples",IF(W67&gt;48,"Improve response time","Review student feedback")))),"Maintain current approach")</f>
        <v/>
      </c>
      <c r="AG67">
        <f>IF(AC67="At Risk","High",IF(T67&lt;4,"Medium","Low"))</f>
        <v/>
      </c>
    </row>
    <row r="68">
      <c r="A68" t="inlineStr">
        <is>
          <t>P007</t>
        </is>
      </c>
      <c r="B68" t="inlineStr">
        <is>
          <t>Dr. Ritu Joshi</t>
        </is>
      </c>
      <c r="C68" t="inlineStr">
        <is>
          <t>Liberal Studies</t>
        </is>
      </c>
      <c r="D68" t="inlineStr">
        <is>
          <t>B.A. (Psychology)</t>
        </is>
      </c>
      <c r="E68" t="inlineStr">
        <is>
          <t>M.A. (Psychology)</t>
        </is>
      </c>
      <c r="F68" t="inlineStr">
        <is>
          <t>Ph.D. in Psychology</t>
        </is>
      </c>
      <c r="G68" t="inlineStr">
        <is>
          <t>Ph.D.</t>
        </is>
      </c>
      <c r="H68" t="inlineStr">
        <is>
          <t>Psychology</t>
        </is>
      </c>
      <c r="I68" t="inlineStr">
        <is>
          <t>Research Methodology</t>
        </is>
      </c>
      <c r="J68" t="inlineStr">
        <is>
          <t>Personality Development</t>
        </is>
      </c>
      <c r="K68" t="inlineStr">
        <is>
          <t>2nd</t>
        </is>
      </c>
      <c r="L68" t="inlineStr">
        <is>
          <t>ECE</t>
        </is>
      </c>
      <c r="M68" t="n">
        <v>4</v>
      </c>
      <c r="N68" t="n">
        <v>4</v>
      </c>
      <c r="O68" t="n">
        <v>5</v>
      </c>
      <c r="P68" t="n">
        <v>4</v>
      </c>
      <c r="Q68" t="n">
        <v>2</v>
      </c>
      <c r="R68" t="inlineStr">
        <is>
          <t>Yes</t>
        </is>
      </c>
      <c r="S68" t="inlineStr">
        <is>
          <t>Average teaching style.</t>
        </is>
      </c>
      <c r="T68" t="n">
        <v>4.33</v>
      </c>
      <c r="U68" t="n">
        <v>19</v>
      </c>
      <c r="V68" t="n">
        <v>3</v>
      </c>
      <c r="W68" t="n">
        <v>2</v>
      </c>
      <c r="X68" t="n">
        <v>29</v>
      </c>
      <c r="Y68" t="n">
        <v>2</v>
      </c>
      <c r="Z68" t="inlineStr">
        <is>
          <t>Yes</t>
        </is>
      </c>
      <c r="AA68">
        <f>IF(T68="","Missing",IF(T68&gt;=4,"High",IF(T68&gt;=3,"Moderate","Low")))</f>
        <v/>
      </c>
      <c r="AB68">
        <f>IF(COUNT(M68:O68)&lt;3,"Insufficient data",IF(MIN(M68:O68)=M68,"Teaching",IF(MIN(M68:O68)=N68,"Knowledge",IF(MIN(M68:O68)=O68,"Interaction",IF(P68&gt;=4,"High difficulty",IF(W68&gt;48,"Slow response","Balanced"))))))</f>
        <v/>
      </c>
      <c r="AC68">
        <f>IF(OR(T68&lt;3,P68&gt;=4,W68&gt;48),"At Risk","Stable")</f>
        <v/>
      </c>
      <c r="AD68">
        <f>IF(COUNT(M68:O68)&lt;3,"",ROUND((M68*0.30+N68*0.25+O68*0.25+(6-P68)*0.10+IF(W68&lt;=24,5,IF(W68&lt;=48,3,1))*0.10),2))</f>
        <v/>
      </c>
      <c r="AE68">
        <f>IF(AD68="","Unknown",IF(AD68&gt;=3.5,"Yes","No"))</f>
        <v/>
      </c>
      <c r="AF68">
        <f>IF(AC68="At Risk",IF(M68&lt;3,"Improve teaching clarity",IF(O68&lt;3,"Increase student interaction",IF(P68&gt;=4,"Reduce perceived difficulty with examples",IF(W68&gt;48,"Improve response time","Review student feedback")))),"Maintain current approach")</f>
        <v/>
      </c>
      <c r="AG68">
        <f>IF(AC68="At Risk","High",IF(T68&lt;4,"Medium","Low"))</f>
        <v/>
      </c>
    </row>
    <row r="69">
      <c r="A69" t="inlineStr">
        <is>
          <t>P008</t>
        </is>
      </c>
      <c r="B69" t="inlineStr">
        <is>
          <t>Prof. Karan Bhatia</t>
        </is>
      </c>
      <c r="C69" t="inlineStr">
        <is>
          <t>Liberal Studies</t>
        </is>
      </c>
      <c r="D69" t="inlineStr">
        <is>
          <t>B.A. (Sociology)</t>
        </is>
      </c>
      <c r="E69" t="inlineStr">
        <is>
          <t>M.A. (Sociology)</t>
        </is>
      </c>
      <c r="G69" t="inlineStr">
        <is>
          <t>M.A.</t>
        </is>
      </c>
      <c r="H69" t="inlineStr">
        <is>
          <t>Sociology</t>
        </is>
      </c>
      <c r="I69" t="inlineStr">
        <is>
          <t>Critical Thinking</t>
        </is>
      </c>
      <c r="J69" t="inlineStr">
        <is>
          <t>Communication Skills</t>
        </is>
      </c>
      <c r="K69" t="inlineStr">
        <is>
          <t>4th</t>
        </is>
      </c>
      <c r="L69" t="inlineStr">
        <is>
          <t>Business</t>
        </is>
      </c>
      <c r="M69" t="n">
        <v>4</v>
      </c>
      <c r="N69" t="n">
        <v>3</v>
      </c>
      <c r="O69" t="n">
        <v>2</v>
      </c>
      <c r="P69" t="n">
        <v>3</v>
      </c>
      <c r="Q69" t="n">
        <v>3</v>
      </c>
      <c r="R69" t="inlineStr">
        <is>
          <t>No</t>
        </is>
      </c>
      <c r="S69" t="inlineStr">
        <is>
          <t>Helpful after lectures.</t>
        </is>
      </c>
      <c r="T69" t="n">
        <v>3</v>
      </c>
      <c r="U69" t="n">
        <v>19</v>
      </c>
      <c r="V69" t="n">
        <v>2</v>
      </c>
      <c r="W69" t="n">
        <v>48</v>
      </c>
      <c r="X69" t="n">
        <v>20</v>
      </c>
      <c r="Y69" t="n">
        <v>8</v>
      </c>
      <c r="Z69" t="inlineStr">
        <is>
          <t>No</t>
        </is>
      </c>
      <c r="AA69">
        <f>IF(T69="","Missing",IF(T69&gt;=4,"High",IF(T69&gt;=3,"Moderate","Low")))</f>
        <v/>
      </c>
      <c r="AB69">
        <f>IF(COUNT(M69:O69)&lt;3,"Insufficient data",IF(MIN(M69:O69)=M69,"Teaching",IF(MIN(M69:O69)=N69,"Knowledge",IF(MIN(M69:O69)=O69,"Interaction",IF(P69&gt;=4,"High difficulty",IF(W69&gt;48,"Slow response","Balanced"))))))</f>
        <v/>
      </c>
      <c r="AC69">
        <f>IF(OR(T69&lt;3,P69&gt;=4,W69&gt;48),"At Risk","Stable")</f>
        <v/>
      </c>
      <c r="AD69">
        <f>IF(COUNT(M69:O69)&lt;3,"",ROUND((M69*0.30+N69*0.25+O69*0.25+(6-P69)*0.10+IF(W69&lt;=24,5,IF(W69&lt;=48,3,1))*0.10),2))</f>
        <v/>
      </c>
      <c r="AE69">
        <f>IF(AD69="","Unknown",IF(AD69&gt;=3.5,"Yes","No"))</f>
        <v/>
      </c>
      <c r="AF69">
        <f>IF(AC69="At Risk",IF(M69&lt;3,"Improve teaching clarity",IF(O69&lt;3,"Increase student interaction",IF(P69&gt;=4,"Reduce perceived difficulty with examples",IF(W69&gt;48,"Improve response time","Review student feedback")))),"Maintain current approach")</f>
        <v/>
      </c>
      <c r="AG69">
        <f>IF(AC69="At Risk","High",IF(T69&lt;4,"Medium","Low"))</f>
        <v/>
      </c>
    </row>
    <row r="70">
      <c r="A70" t="inlineStr">
        <is>
          <t>P009</t>
        </is>
      </c>
      <c r="B70" t="inlineStr">
        <is>
          <t>Dr. Priya Nanda</t>
        </is>
      </c>
      <c r="C70" t="inlineStr">
        <is>
          <t>Computer Science</t>
        </is>
      </c>
      <c r="D70" t="inlineStr">
        <is>
          <t>B.Tech (Computer Science)</t>
        </is>
      </c>
      <c r="E70" t="inlineStr">
        <is>
          <t>M.Tech (Machine Learning)</t>
        </is>
      </c>
      <c r="F70" t="inlineStr">
        <is>
          <t>Ph.D. in Computer Science</t>
        </is>
      </c>
      <c r="G70" t="inlineStr">
        <is>
          <t>Ph.D.</t>
        </is>
      </c>
      <c r="H70" t="inlineStr">
        <is>
          <t>Machine Learning</t>
        </is>
      </c>
      <c r="I70" t="inlineStr">
        <is>
          <t>Artificial Intelligence</t>
        </is>
      </c>
      <c r="J70" t="inlineStr">
        <is>
          <t>Data Mining</t>
        </is>
      </c>
      <c r="K70" t="inlineStr">
        <is>
          <t>2nd</t>
        </is>
      </c>
      <c r="L70" t="inlineStr">
        <is>
          <t>AI &amp; DS</t>
        </is>
      </c>
      <c r="M70" t="n">
        <v>2</v>
      </c>
      <c r="N70" t="n">
        <v>3</v>
      </c>
      <c r="O70" t="n">
        <v>2</v>
      </c>
      <c r="P70" t="n">
        <v>1</v>
      </c>
      <c r="Q70" t="n">
        <v>4</v>
      </c>
      <c r="R70" t="inlineStr">
        <is>
          <t>No</t>
        </is>
      </c>
      <c r="S70" t="inlineStr">
        <is>
          <t>Average teaching style.</t>
        </is>
      </c>
      <c r="T70" t="n">
        <v>2.33</v>
      </c>
      <c r="U70" t="n">
        <v>26</v>
      </c>
      <c r="V70" t="n">
        <v>3</v>
      </c>
      <c r="W70" t="n">
        <v>72</v>
      </c>
      <c r="X70" t="n">
        <v>31</v>
      </c>
      <c r="Y70" t="n">
        <v>4</v>
      </c>
      <c r="Z70" t="inlineStr">
        <is>
          <t>No</t>
        </is>
      </c>
      <c r="AA70">
        <f>IF(T70="","Missing",IF(T70&gt;=4,"High",IF(T70&gt;=3,"Moderate","Low")))</f>
        <v/>
      </c>
      <c r="AB70">
        <f>IF(COUNT(M70:O70)&lt;3,"Insufficient data",IF(MIN(M70:O70)=M70,"Teaching",IF(MIN(M70:O70)=N70,"Knowledge",IF(MIN(M70:O70)=O70,"Interaction",IF(P70&gt;=4,"High difficulty",IF(W70&gt;48,"Slow response","Balanced"))))))</f>
        <v/>
      </c>
      <c r="AC70">
        <f>IF(OR(T70&lt;3,P70&gt;=4,W70&gt;48),"At Risk","Stable")</f>
        <v/>
      </c>
      <c r="AD70">
        <f>IF(COUNT(M70:O70)&lt;3,"",ROUND((M70*0.30+N70*0.25+O70*0.25+(6-P70)*0.10+IF(W70&lt;=24,5,IF(W70&lt;=48,3,1))*0.10),2))</f>
        <v/>
      </c>
      <c r="AE70">
        <f>IF(AD70="","Unknown",IF(AD70&gt;=3.5,"Yes","No"))</f>
        <v/>
      </c>
      <c r="AF70">
        <f>IF(AC70="At Risk",IF(M70&lt;3,"Improve teaching clarity",IF(O70&lt;3,"Increase student interaction",IF(P70&gt;=4,"Reduce perceived difficulty with examples",IF(W70&gt;48,"Improve response time","Review student feedback")))),"Maintain current approach")</f>
        <v/>
      </c>
      <c r="AG70">
        <f>IF(AC70="At Risk","High",IF(T70&lt;4,"Medium","Low"))</f>
        <v/>
      </c>
    </row>
    <row r="71">
      <c r="A71" t="inlineStr">
        <is>
          <t>P010</t>
        </is>
      </c>
      <c r="B71" t="inlineStr">
        <is>
          <t>Dr. Mohit Arora</t>
        </is>
      </c>
      <c r="C71" t="inlineStr">
        <is>
          <t>Business</t>
        </is>
      </c>
      <c r="D71" t="inlineStr">
        <is>
          <t>BBA</t>
        </is>
      </c>
      <c r="E71" t="inlineStr">
        <is>
          <t>MBA (Business Analytics)</t>
        </is>
      </c>
      <c r="G71" t="inlineStr">
        <is>
          <t>MBA</t>
        </is>
      </c>
      <c r="H71" t="inlineStr">
        <is>
          <t>Business Analytics</t>
        </is>
      </c>
      <c r="I71" t="inlineStr">
        <is>
          <t>Operations Management</t>
        </is>
      </c>
      <c r="J71" t="inlineStr">
        <is>
          <t>Excel for Business</t>
        </is>
      </c>
      <c r="K71" t="inlineStr">
        <is>
          <t>4th</t>
        </is>
      </c>
      <c r="L71" t="inlineStr">
        <is>
          <t>AI &amp; DS</t>
        </is>
      </c>
      <c r="M71" t="n">
        <v>3</v>
      </c>
      <c r="N71" t="n">
        <v>2</v>
      </c>
      <c r="O71" t="n">
        <v>4</v>
      </c>
      <c r="P71" t="n">
        <v>5</v>
      </c>
      <c r="Q71" t="n">
        <v>2</v>
      </c>
      <c r="R71" t="inlineStr">
        <is>
          <t>No</t>
        </is>
      </c>
      <c r="S71" t="inlineStr">
        <is>
          <t>Interactive sessions.</t>
        </is>
      </c>
      <c r="T71" t="n">
        <v>3</v>
      </c>
      <c r="U71" t="n">
        <v>32</v>
      </c>
      <c r="V71" t="n">
        <v>2</v>
      </c>
      <c r="W71" t="n">
        <v>72</v>
      </c>
      <c r="X71" t="n">
        <v>5</v>
      </c>
      <c r="Y71" t="n">
        <v>6</v>
      </c>
      <c r="Z71" t="inlineStr">
        <is>
          <t>No</t>
        </is>
      </c>
      <c r="AA71">
        <f>IF(T71="","Missing",IF(T71&gt;=4,"High",IF(T71&gt;=3,"Moderate","Low")))</f>
        <v/>
      </c>
      <c r="AB71">
        <f>IF(COUNT(M71:O71)&lt;3,"Insufficient data",IF(MIN(M71:O71)=M71,"Teaching",IF(MIN(M71:O71)=N71,"Knowledge",IF(MIN(M71:O71)=O71,"Interaction",IF(P71&gt;=4,"High difficulty",IF(W71&gt;48,"Slow response","Balanced"))))))</f>
        <v/>
      </c>
      <c r="AC71">
        <f>IF(OR(T71&lt;3,P71&gt;=4,W71&gt;48),"At Risk","Stable")</f>
        <v/>
      </c>
      <c r="AD71">
        <f>IF(COUNT(M71:O71)&lt;3,"",ROUND((M71*0.30+N71*0.25+O71*0.25+(6-P71)*0.10+IF(W71&lt;=24,5,IF(W71&lt;=48,3,1))*0.10),2))</f>
        <v/>
      </c>
      <c r="AE71">
        <f>IF(AD71="","Unknown",IF(AD71&gt;=3.5,"Yes","No"))</f>
        <v/>
      </c>
      <c r="AF71">
        <f>IF(AC71="At Risk",IF(M71&lt;3,"Improve teaching clarity",IF(O71&lt;3,"Increase student interaction",IF(P71&gt;=4,"Reduce perceived difficulty with examples",IF(W71&gt;48,"Improve response time","Review student feedback")))),"Maintain current approach")</f>
        <v/>
      </c>
      <c r="AG71">
        <f>IF(AC71="At Risk","High",IF(T71&lt;4,"Medium","Low"))</f>
        <v/>
      </c>
    </row>
    <row r="72">
      <c r="A72" t="inlineStr">
        <is>
          <t>P001</t>
        </is>
      </c>
      <c r="B72" t="inlineStr">
        <is>
          <t>Dr. Aditi Sharma</t>
        </is>
      </c>
      <c r="C72" t="inlineStr">
        <is>
          <t>Computer Science</t>
        </is>
      </c>
      <c r="D72" t="inlineStr">
        <is>
          <t>B.Tech (Computer Science)</t>
        </is>
      </c>
      <c r="E72" t="inlineStr">
        <is>
          <t>M.Tech (Computer Science &amp; Engineering)</t>
        </is>
      </c>
      <c r="F72" t="inlineStr">
        <is>
          <t>Ph.D. in Data Science</t>
        </is>
      </c>
      <c r="G72" t="inlineStr">
        <is>
          <t>Ph.D.</t>
        </is>
      </c>
      <c r="H72" t="inlineStr">
        <is>
          <t>Data Science</t>
        </is>
      </c>
      <c r="I72" t="inlineStr">
        <is>
          <t>Python Programming</t>
        </is>
      </c>
      <c r="J72" t="inlineStr">
        <is>
          <t>Data Visualization</t>
        </is>
      </c>
      <c r="K72" t="inlineStr">
        <is>
          <t>2nd</t>
        </is>
      </c>
      <c r="L72" t="inlineStr">
        <is>
          <t>ECE</t>
        </is>
      </c>
      <c r="M72" t="n">
        <v>3</v>
      </c>
      <c r="N72" t="n">
        <v>2</v>
      </c>
      <c r="O72" t="n">
        <v>5</v>
      </c>
      <c r="P72" t="n">
        <v>1</v>
      </c>
      <c r="Q72" t="n">
        <v>4</v>
      </c>
      <c r="R72" t="inlineStr">
        <is>
          <t>No</t>
        </is>
      </c>
      <c r="S72" t="inlineStr">
        <is>
          <t>Needs more practical examples.</t>
        </is>
      </c>
      <c r="T72" t="n">
        <v>3.33</v>
      </c>
      <c r="U72" t="n">
        <v>31</v>
      </c>
      <c r="V72" t="n">
        <v>0</v>
      </c>
      <c r="W72" t="n">
        <v>2</v>
      </c>
      <c r="X72" t="n">
        <v>16</v>
      </c>
      <c r="Y72" t="n">
        <v>2</v>
      </c>
      <c r="Z72" t="inlineStr">
        <is>
          <t>Yes</t>
        </is>
      </c>
      <c r="AA72">
        <f>IF(T72="","Missing",IF(T72&gt;=4,"High",IF(T72&gt;=3,"Moderate","Low")))</f>
        <v/>
      </c>
      <c r="AB72">
        <f>IF(COUNT(M72:O72)&lt;3,"Insufficient data",IF(MIN(M72:O72)=M72,"Teaching",IF(MIN(M72:O72)=N72,"Knowledge",IF(MIN(M72:O72)=O72,"Interaction",IF(P72&gt;=4,"High difficulty",IF(W72&gt;48,"Slow response","Balanced"))))))</f>
        <v/>
      </c>
      <c r="AC72">
        <f>IF(OR(T72&lt;3,P72&gt;=4,W72&gt;48),"At Risk","Stable")</f>
        <v/>
      </c>
      <c r="AD72">
        <f>IF(COUNT(M72:O72)&lt;3,"",ROUND((M72*0.30+N72*0.25+O72*0.25+(6-P72)*0.10+IF(W72&lt;=24,5,IF(W72&lt;=48,3,1))*0.10),2))</f>
        <v/>
      </c>
      <c r="AE72">
        <f>IF(AD72="","Unknown",IF(AD72&gt;=3.5,"Yes","No"))</f>
        <v/>
      </c>
      <c r="AF72">
        <f>IF(AC72="At Risk",IF(M72&lt;3,"Improve teaching clarity",IF(O72&lt;3,"Increase student interaction",IF(P72&gt;=4,"Reduce perceived difficulty with examples",IF(W72&gt;48,"Improve response time","Review student feedback")))),"Maintain current approach")</f>
        <v/>
      </c>
      <c r="AG72">
        <f>IF(AC72="At Risk","High",IF(T72&lt;4,"Medium","Low"))</f>
        <v/>
      </c>
    </row>
    <row r="73">
      <c r="A73" t="inlineStr">
        <is>
          <t>P002</t>
        </is>
      </c>
      <c r="B73" t="inlineStr">
        <is>
          <t>Dr. Rahul Mehta</t>
        </is>
      </c>
      <c r="C73" t="inlineStr">
        <is>
          <t>Computer Science</t>
        </is>
      </c>
      <c r="D73" t="inlineStr">
        <is>
          <t>B.Tech (Information Technology)</t>
        </is>
      </c>
      <c r="E73" t="inlineStr">
        <is>
          <t>M.Tech (Computer Science)</t>
        </is>
      </c>
      <c r="F73" t="inlineStr">
        <is>
          <t>Ph.D. in Artificial Intelligence</t>
        </is>
      </c>
      <c r="G73" t="inlineStr">
        <is>
          <t>Ph.D.</t>
        </is>
      </c>
      <c r="H73" t="inlineStr">
        <is>
          <t>Artificial Intelligence</t>
        </is>
      </c>
      <c r="I73" t="inlineStr">
        <is>
          <t>Data Structures</t>
        </is>
      </c>
      <c r="J73" t="inlineStr">
        <is>
          <t>Computer Networks</t>
        </is>
      </c>
      <c r="K73" t="inlineStr">
        <is>
          <t>4th</t>
        </is>
      </c>
      <c r="L73" t="inlineStr">
        <is>
          <t>Law</t>
        </is>
      </c>
      <c r="M73" t="n">
        <v>2</v>
      </c>
      <c r="N73" t="n">
        <v>2</v>
      </c>
      <c r="O73" t="n">
        <v>5</v>
      </c>
      <c r="P73" t="n">
        <v>2</v>
      </c>
      <c r="Q73" t="n">
        <v>2</v>
      </c>
      <c r="R73" t="inlineStr">
        <is>
          <t>Yes</t>
        </is>
      </c>
      <c r="S73" t="inlineStr">
        <is>
          <t>Average teaching style.</t>
        </is>
      </c>
      <c r="T73" t="n">
        <v>3</v>
      </c>
      <c r="U73" t="n">
        <v>80</v>
      </c>
      <c r="V73" t="n">
        <v>4</v>
      </c>
      <c r="W73" t="n">
        <v>48</v>
      </c>
      <c r="X73" t="n">
        <v>15</v>
      </c>
      <c r="Y73" t="n">
        <v>3</v>
      </c>
      <c r="Z73" t="inlineStr">
        <is>
          <t>No</t>
        </is>
      </c>
      <c r="AA73">
        <f>IF(T73="","Missing",IF(T73&gt;=4,"High",IF(T73&gt;=3,"Moderate","Low")))</f>
        <v/>
      </c>
      <c r="AB73">
        <f>IF(COUNT(M73:O73)&lt;3,"Insufficient data",IF(MIN(M73:O73)=M73,"Teaching",IF(MIN(M73:O73)=N73,"Knowledge",IF(MIN(M73:O73)=O73,"Interaction",IF(P73&gt;=4,"High difficulty",IF(W73&gt;48,"Slow response","Balanced"))))))</f>
        <v/>
      </c>
      <c r="AC73">
        <f>IF(OR(T73&lt;3,P73&gt;=4,W73&gt;48),"At Risk","Stable")</f>
        <v/>
      </c>
      <c r="AD73">
        <f>IF(COUNT(M73:O73)&lt;3,"",ROUND((M73*0.30+N73*0.25+O73*0.25+(6-P73)*0.10+IF(W73&lt;=24,5,IF(W73&lt;=48,3,1))*0.10),2))</f>
        <v/>
      </c>
      <c r="AE73">
        <f>IF(AD73="","Unknown",IF(AD73&gt;=3.5,"Yes","No"))</f>
        <v/>
      </c>
      <c r="AF73">
        <f>IF(AC73="At Risk",IF(M73&lt;3,"Improve teaching clarity",IF(O73&lt;3,"Increase student interaction",IF(P73&gt;=4,"Reduce perceived difficulty with examples",IF(W73&gt;48,"Improve response time","Review student feedback")))),"Maintain current approach")</f>
        <v/>
      </c>
      <c r="AG73">
        <f>IF(AC73="At Risk","High",IF(T73&lt;4,"Medium","Low"))</f>
        <v/>
      </c>
    </row>
    <row r="74">
      <c r="A74" t="inlineStr">
        <is>
          <t>P003</t>
        </is>
      </c>
      <c r="B74" t="inlineStr">
        <is>
          <t>Prof. Neha Kapoor</t>
        </is>
      </c>
      <c r="C74" t="inlineStr">
        <is>
          <t>Business</t>
        </is>
      </c>
      <c r="D74" t="inlineStr">
        <is>
          <t>BBA</t>
        </is>
      </c>
      <c r="E74" t="inlineStr">
        <is>
          <t>MBA (Marketing)</t>
        </is>
      </c>
      <c r="F74" t="inlineStr">
        <is>
          <t>Ph.D. in Marketing Management</t>
        </is>
      </c>
      <c r="G74" t="inlineStr">
        <is>
          <t>Ph.D.</t>
        </is>
      </c>
      <c r="H74" t="inlineStr">
        <is>
          <t>Marketing</t>
        </is>
      </c>
      <c r="I74" t="inlineStr">
        <is>
          <t>Consumer Behaviour</t>
        </is>
      </c>
      <c r="J74" t="inlineStr">
        <is>
          <t>Digital Marketing</t>
        </is>
      </c>
      <c r="K74" t="inlineStr">
        <is>
          <t>3rd</t>
        </is>
      </c>
      <c r="L74" t="inlineStr">
        <is>
          <t>Business</t>
        </is>
      </c>
      <c r="M74" t="n">
        <v>4</v>
      </c>
      <c r="N74" t="n">
        <v>4</v>
      </c>
      <c r="O74" t="n">
        <v>4</v>
      </c>
      <c r="P74" t="n">
        <v>3</v>
      </c>
      <c r="Q74" t="n">
        <v>2</v>
      </c>
      <c r="R74" t="inlineStr">
        <is>
          <t>Yes</t>
        </is>
      </c>
      <c r="S74" t="inlineStr">
        <is>
          <t>Highly recommended.</t>
        </is>
      </c>
      <c r="T74" t="n">
        <v>4</v>
      </c>
      <c r="U74" t="n">
        <v>25</v>
      </c>
      <c r="V74" t="n">
        <v>1</v>
      </c>
      <c r="W74" t="n">
        <v>4</v>
      </c>
      <c r="X74" t="n">
        <v>15</v>
      </c>
      <c r="Y74" t="n">
        <v>4</v>
      </c>
      <c r="Z74" t="inlineStr">
        <is>
          <t>No</t>
        </is>
      </c>
      <c r="AA74">
        <f>IF(T74="","Missing",IF(T74&gt;=4,"High",IF(T74&gt;=3,"Moderate","Low")))</f>
        <v/>
      </c>
      <c r="AB74">
        <f>IF(COUNT(M74:O74)&lt;3,"Insufficient data",IF(MIN(M74:O74)=M74,"Teaching",IF(MIN(M74:O74)=N74,"Knowledge",IF(MIN(M74:O74)=O74,"Interaction",IF(P74&gt;=4,"High difficulty",IF(W74&gt;48,"Slow response","Balanced"))))))</f>
        <v/>
      </c>
      <c r="AC74">
        <f>IF(OR(T74&lt;3,P74&gt;=4,W74&gt;48),"At Risk","Stable")</f>
        <v/>
      </c>
      <c r="AD74">
        <f>IF(COUNT(M74:O74)&lt;3,"",ROUND((M74*0.30+N74*0.25+O74*0.25+(6-P74)*0.10+IF(W74&lt;=24,5,IF(W74&lt;=48,3,1))*0.10),2))</f>
        <v/>
      </c>
      <c r="AE74">
        <f>IF(AD74="","Unknown",IF(AD74&gt;=3.5,"Yes","No"))</f>
        <v/>
      </c>
      <c r="AF74">
        <f>IF(AC74="At Risk",IF(M74&lt;3,"Improve teaching clarity",IF(O74&lt;3,"Increase student interaction",IF(P74&gt;=4,"Reduce perceived difficulty with examples",IF(W74&gt;48,"Improve response time","Review student feedback")))),"Maintain current approach")</f>
        <v/>
      </c>
      <c r="AG74">
        <f>IF(AC74="At Risk","High",IF(T74&lt;4,"Medium","Low"))</f>
        <v/>
      </c>
    </row>
    <row r="75">
      <c r="A75" t="inlineStr">
        <is>
          <t>P004</t>
        </is>
      </c>
      <c r="B75" t="inlineStr">
        <is>
          <t>Dr. Arjun Verma</t>
        </is>
      </c>
      <c r="C75" t="inlineStr">
        <is>
          <t>Business</t>
        </is>
      </c>
      <c r="D75" t="inlineStr">
        <is>
          <t>B.Com</t>
        </is>
      </c>
      <c r="E75" t="inlineStr">
        <is>
          <t>MBA (Finance)</t>
        </is>
      </c>
      <c r="F75" t="inlineStr">
        <is>
          <t>Ph.D. in Finance</t>
        </is>
      </c>
      <c r="G75" t="inlineStr">
        <is>
          <t>Ph.D.</t>
        </is>
      </c>
      <c r="H75" t="inlineStr">
        <is>
          <t>Finance</t>
        </is>
      </c>
      <c r="I75" t="inlineStr">
        <is>
          <t>Investment Analysis</t>
        </is>
      </c>
      <c r="J75" t="inlineStr">
        <is>
          <t>Business Statistics</t>
        </is>
      </c>
      <c r="K75" t="inlineStr">
        <is>
          <t>3rd</t>
        </is>
      </c>
      <c r="L75" t="inlineStr">
        <is>
          <t>Business</t>
        </is>
      </c>
      <c r="M75" t="n">
        <v>3</v>
      </c>
      <c r="N75" t="n">
        <v>3</v>
      </c>
      <c r="O75" t="n">
        <v>2</v>
      </c>
      <c r="P75" t="n">
        <v>2</v>
      </c>
      <c r="Q75" t="n">
        <v>5</v>
      </c>
      <c r="R75" t="inlineStr">
        <is>
          <t>Yes</t>
        </is>
      </c>
      <c r="S75" t="inlineStr">
        <is>
          <t>Very supportive during class.</t>
        </is>
      </c>
      <c r="T75" t="n">
        <v>2.67</v>
      </c>
      <c r="U75" t="n">
        <v>38</v>
      </c>
      <c r="V75" t="n">
        <v>3</v>
      </c>
      <c r="W75" t="n">
        <v>2</v>
      </c>
      <c r="X75" t="n">
        <v>6</v>
      </c>
      <c r="Y75" t="n">
        <v>0</v>
      </c>
      <c r="Z75" t="inlineStr">
        <is>
          <t>No</t>
        </is>
      </c>
      <c r="AA75">
        <f>IF(T75="","Missing",IF(T75&gt;=4,"High",IF(T75&gt;=3,"Moderate","Low")))</f>
        <v/>
      </c>
      <c r="AB75">
        <f>IF(COUNT(M75:O75)&lt;3,"Insufficient data",IF(MIN(M75:O75)=M75,"Teaching",IF(MIN(M75:O75)=N75,"Knowledge",IF(MIN(M75:O75)=O75,"Interaction",IF(P75&gt;=4,"High difficulty",IF(W75&gt;48,"Slow response","Balanced"))))))</f>
        <v/>
      </c>
      <c r="AC75">
        <f>IF(OR(T75&lt;3,P75&gt;=4,W75&gt;48),"At Risk","Stable")</f>
        <v/>
      </c>
      <c r="AD75">
        <f>IF(COUNT(M75:O75)&lt;3,"",ROUND((M75*0.30+N75*0.25+O75*0.25+(6-P75)*0.10+IF(W75&lt;=24,5,IF(W75&lt;=48,3,1))*0.10),2))</f>
        <v/>
      </c>
      <c r="AE75">
        <f>IF(AD75="","Unknown",IF(AD75&gt;=3.5,"Yes","No"))</f>
        <v/>
      </c>
      <c r="AF75">
        <f>IF(AC75="At Risk",IF(M75&lt;3,"Improve teaching clarity",IF(O75&lt;3,"Increase student interaction",IF(P75&gt;=4,"Reduce perceived difficulty with examples",IF(W75&gt;48,"Improve response time","Review student feedback")))),"Maintain current approach")</f>
        <v/>
      </c>
      <c r="AG75">
        <f>IF(AC75="At Risk","High",IF(T75&lt;4,"Medium","Low"))</f>
        <v/>
      </c>
    </row>
    <row r="76">
      <c r="A76" t="inlineStr">
        <is>
          <t>P005</t>
        </is>
      </c>
      <c r="B76" t="inlineStr">
        <is>
          <t>Dr. Simran Kaur</t>
        </is>
      </c>
      <c r="C76" t="inlineStr">
        <is>
          <t>Law</t>
        </is>
      </c>
      <c r="D76" t="inlineStr">
        <is>
          <t>B.A. LL.B. (Hons.)</t>
        </is>
      </c>
      <c r="E76" t="inlineStr">
        <is>
          <t>LL.M. (Constitutional Law)</t>
        </is>
      </c>
      <c r="F76" t="inlineStr">
        <is>
          <t>Ph.D. in Constitutional Law</t>
        </is>
      </c>
      <c r="G76" t="inlineStr">
        <is>
          <t>Ph.D.</t>
        </is>
      </c>
      <c r="H76" t="inlineStr">
        <is>
          <t>Constitutional Law</t>
        </is>
      </c>
      <c r="I76" t="inlineStr">
        <is>
          <t>Legal Research</t>
        </is>
      </c>
      <c r="J76" t="inlineStr">
        <is>
          <t>Jurisprudence</t>
        </is>
      </c>
      <c r="K76" t="inlineStr">
        <is>
          <t>2nd</t>
        </is>
      </c>
      <c r="L76" t="inlineStr">
        <is>
          <t>Business</t>
        </is>
      </c>
      <c r="M76" t="n">
        <v>3</v>
      </c>
      <c r="N76" t="n">
        <v>3</v>
      </c>
      <c r="O76" t="n">
        <v>4</v>
      </c>
      <c r="P76" t="n">
        <v>2</v>
      </c>
      <c r="Q76" t="n">
        <v>1</v>
      </c>
      <c r="R76" t="inlineStr">
        <is>
          <t>Yes</t>
        </is>
      </c>
      <c r="S76" t="inlineStr">
        <is>
          <t>Excellent real-world case studies.</t>
        </is>
      </c>
      <c r="T76" t="n">
        <v>3.33</v>
      </c>
      <c r="U76" t="n">
        <v>37</v>
      </c>
      <c r="V76" t="n">
        <v>6</v>
      </c>
      <c r="W76" t="n">
        <v>24</v>
      </c>
      <c r="X76" t="n">
        <v>12</v>
      </c>
      <c r="Y76" t="n">
        <v>2</v>
      </c>
      <c r="Z76" t="inlineStr">
        <is>
          <t>No</t>
        </is>
      </c>
      <c r="AA76">
        <f>IF(T76="","Missing",IF(T76&gt;=4,"High",IF(T76&gt;=3,"Moderate","Low")))</f>
        <v/>
      </c>
      <c r="AB76">
        <f>IF(COUNT(M76:O76)&lt;3,"Insufficient data",IF(MIN(M76:O76)=M76,"Teaching",IF(MIN(M76:O76)=N76,"Knowledge",IF(MIN(M76:O76)=O76,"Interaction",IF(P76&gt;=4,"High difficulty",IF(W76&gt;48,"Slow response","Balanced"))))))</f>
        <v/>
      </c>
      <c r="AC76">
        <f>IF(OR(T76&lt;3,P76&gt;=4,W76&gt;48),"At Risk","Stable")</f>
        <v/>
      </c>
      <c r="AD76">
        <f>IF(COUNT(M76:O76)&lt;3,"",ROUND((M76*0.30+N76*0.25+O76*0.25+(6-P76)*0.10+IF(W76&lt;=24,5,IF(W76&lt;=48,3,1))*0.10),2))</f>
        <v/>
      </c>
      <c r="AE76">
        <f>IF(AD76="","Unknown",IF(AD76&gt;=3.5,"Yes","No"))</f>
        <v/>
      </c>
      <c r="AF76">
        <f>IF(AC76="At Risk",IF(M76&lt;3,"Improve teaching clarity",IF(O76&lt;3,"Increase student interaction",IF(P76&gt;=4,"Reduce perceived difficulty with examples",IF(W76&gt;48,"Improve response time","Review student feedback")))),"Maintain current approach")</f>
        <v/>
      </c>
      <c r="AG76">
        <f>IF(AC76="At Risk","High",IF(T76&lt;4,"Medium","Low"))</f>
        <v/>
      </c>
    </row>
    <row r="77">
      <c r="A77" t="inlineStr">
        <is>
          <t>P006</t>
        </is>
      </c>
      <c r="B77" t="inlineStr">
        <is>
          <t>Prof. Vivek Saini</t>
        </is>
      </c>
      <c r="C77" t="inlineStr">
        <is>
          <t>Law</t>
        </is>
      </c>
      <c r="D77" t="inlineStr">
        <is>
          <t>B.A. LL.B.</t>
        </is>
      </c>
      <c r="E77" t="inlineStr">
        <is>
          <t>LL.M. (Corporate Law)</t>
        </is>
      </c>
      <c r="G77" t="inlineStr">
        <is>
          <t>LL.M.</t>
        </is>
      </c>
      <c r="H77" t="inlineStr">
        <is>
          <t>Corporate Law</t>
        </is>
      </c>
      <c r="I77" t="inlineStr">
        <is>
          <t>Cyber Law</t>
        </is>
      </c>
      <c r="J77" t="inlineStr">
        <is>
          <t>IPR</t>
        </is>
      </c>
      <c r="K77" t="inlineStr">
        <is>
          <t>4th</t>
        </is>
      </c>
      <c r="L77" t="inlineStr">
        <is>
          <t>CSE</t>
        </is>
      </c>
      <c r="M77" t="n">
        <v>3</v>
      </c>
      <c r="N77" t="n">
        <v>3</v>
      </c>
      <c r="O77" t="n">
        <v>4</v>
      </c>
      <c r="P77" t="n">
        <v>1</v>
      </c>
      <c r="Q77" t="n">
        <v>5</v>
      </c>
      <c r="R77" t="inlineStr">
        <is>
          <t>No</t>
        </is>
      </c>
      <c r="S77" t="inlineStr">
        <is>
          <t>Excellent real-world case studies.</t>
        </is>
      </c>
      <c r="T77" t="n">
        <v>3.33</v>
      </c>
      <c r="U77" t="n">
        <v>19</v>
      </c>
      <c r="V77" t="n">
        <v>2</v>
      </c>
      <c r="W77" t="n">
        <v>6</v>
      </c>
      <c r="X77" t="n">
        <v>9</v>
      </c>
      <c r="Y77" t="n">
        <v>1</v>
      </c>
      <c r="Z77" t="inlineStr">
        <is>
          <t>Yes</t>
        </is>
      </c>
      <c r="AA77">
        <f>IF(T77="","Missing",IF(T77&gt;=4,"High",IF(T77&gt;=3,"Moderate","Low")))</f>
        <v/>
      </c>
      <c r="AB77">
        <f>IF(COUNT(M77:O77)&lt;3,"Insufficient data",IF(MIN(M77:O77)=M77,"Teaching",IF(MIN(M77:O77)=N77,"Knowledge",IF(MIN(M77:O77)=O77,"Interaction",IF(P77&gt;=4,"High difficulty",IF(W77&gt;48,"Slow response","Balanced"))))))</f>
        <v/>
      </c>
      <c r="AC77">
        <f>IF(OR(T77&lt;3,P77&gt;=4,W77&gt;48),"At Risk","Stable")</f>
        <v/>
      </c>
      <c r="AD77">
        <f>IF(COUNT(M77:O77)&lt;3,"",ROUND((M77*0.30+N77*0.25+O77*0.25+(6-P77)*0.10+IF(W77&lt;=24,5,IF(W77&lt;=48,3,1))*0.10),2))</f>
        <v/>
      </c>
      <c r="AE77">
        <f>IF(AD77="","Unknown",IF(AD77&gt;=3.5,"Yes","No"))</f>
        <v/>
      </c>
      <c r="AF77">
        <f>IF(AC77="At Risk",IF(M77&lt;3,"Improve teaching clarity",IF(O77&lt;3,"Increase student interaction",IF(P77&gt;=4,"Reduce perceived difficulty with examples",IF(W77&gt;48,"Improve response time","Review student feedback")))),"Maintain current approach")</f>
        <v/>
      </c>
      <c r="AG77">
        <f>IF(AC77="At Risk","High",IF(T77&lt;4,"Medium","Low"))</f>
        <v/>
      </c>
    </row>
    <row r="78">
      <c r="A78" t="inlineStr">
        <is>
          <t>P007</t>
        </is>
      </c>
      <c r="B78" t="inlineStr">
        <is>
          <t>Dr. Ritu Joshi</t>
        </is>
      </c>
      <c r="C78" t="inlineStr">
        <is>
          <t>Liberal Studies</t>
        </is>
      </c>
      <c r="D78" t="inlineStr">
        <is>
          <t>B.A. (Psychology)</t>
        </is>
      </c>
      <c r="E78" t="inlineStr">
        <is>
          <t>M.A. (Psychology)</t>
        </is>
      </c>
      <c r="F78" t="inlineStr">
        <is>
          <t>Ph.D. in Psychology</t>
        </is>
      </c>
      <c r="G78" t="inlineStr">
        <is>
          <t>Ph.D.</t>
        </is>
      </c>
      <c r="H78" t="inlineStr">
        <is>
          <t>Psychology</t>
        </is>
      </c>
      <c r="I78" t="inlineStr">
        <is>
          <t>Research Methodology</t>
        </is>
      </c>
      <c r="J78" t="inlineStr">
        <is>
          <t>Personality Development</t>
        </is>
      </c>
      <c r="K78" t="inlineStr">
        <is>
          <t>2nd</t>
        </is>
      </c>
      <c r="L78" t="inlineStr">
        <is>
          <t>Business</t>
        </is>
      </c>
      <c r="M78" t="n">
        <v>4</v>
      </c>
      <c r="N78" t="n">
        <v>3</v>
      </c>
      <c r="O78" t="n">
        <v>3</v>
      </c>
      <c r="P78" t="n">
        <v>4</v>
      </c>
      <c r="Q78" t="n">
        <v>3</v>
      </c>
      <c r="R78" t="inlineStr">
        <is>
          <t>Yes</t>
        </is>
      </c>
      <c r="S78" t="inlineStr">
        <is>
          <t>Helpful after lectures.</t>
        </is>
      </c>
      <c r="T78" t="n">
        <v>3.33</v>
      </c>
      <c r="U78" t="n">
        <v>27</v>
      </c>
      <c r="V78" t="n">
        <v>0</v>
      </c>
      <c r="W78" t="n">
        <v>4</v>
      </c>
      <c r="X78" t="n">
        <v>2</v>
      </c>
      <c r="Y78" t="n">
        <v>15</v>
      </c>
      <c r="Z78" t="inlineStr">
        <is>
          <t>No</t>
        </is>
      </c>
      <c r="AA78">
        <f>IF(T78="","Missing",IF(T78&gt;=4,"High",IF(T78&gt;=3,"Moderate","Low")))</f>
        <v/>
      </c>
      <c r="AB78">
        <f>IF(COUNT(M78:O78)&lt;3,"Insufficient data",IF(MIN(M78:O78)=M78,"Teaching",IF(MIN(M78:O78)=N78,"Knowledge",IF(MIN(M78:O78)=O78,"Interaction",IF(P78&gt;=4,"High difficulty",IF(W78&gt;48,"Slow response","Balanced"))))))</f>
        <v/>
      </c>
      <c r="AC78">
        <f>IF(OR(T78&lt;3,P78&gt;=4,W78&gt;48),"At Risk","Stable")</f>
        <v/>
      </c>
      <c r="AD78">
        <f>IF(COUNT(M78:O78)&lt;3,"",ROUND((M78*0.30+N78*0.25+O78*0.25+(6-P78)*0.10+IF(W78&lt;=24,5,IF(W78&lt;=48,3,1))*0.10),2))</f>
        <v/>
      </c>
      <c r="AE78">
        <f>IF(AD78="","Unknown",IF(AD78&gt;=3.5,"Yes","No"))</f>
        <v/>
      </c>
      <c r="AF78">
        <f>IF(AC78="At Risk",IF(M78&lt;3,"Improve teaching clarity",IF(O78&lt;3,"Increase student interaction",IF(P78&gt;=4,"Reduce perceived difficulty with examples",IF(W78&gt;48,"Improve response time","Review student feedback")))),"Maintain current approach")</f>
        <v/>
      </c>
      <c r="AG78">
        <f>IF(AC78="At Risk","High",IF(T78&lt;4,"Medium","Low"))</f>
        <v/>
      </c>
    </row>
    <row r="79">
      <c r="A79" t="inlineStr">
        <is>
          <t>P008</t>
        </is>
      </c>
      <c r="B79" t="inlineStr">
        <is>
          <t>Prof. Karan Bhatia</t>
        </is>
      </c>
      <c r="C79" t="inlineStr">
        <is>
          <t>Liberal Studies</t>
        </is>
      </c>
      <c r="D79" t="inlineStr">
        <is>
          <t>B.A. (Sociology)</t>
        </is>
      </c>
      <c r="E79" t="inlineStr">
        <is>
          <t>M.A. (Sociology)</t>
        </is>
      </c>
      <c r="G79" t="inlineStr">
        <is>
          <t>M.A.</t>
        </is>
      </c>
      <c r="H79" t="inlineStr">
        <is>
          <t>Sociology</t>
        </is>
      </c>
      <c r="I79" t="inlineStr">
        <is>
          <t>Critical Thinking</t>
        </is>
      </c>
      <c r="J79" t="inlineStr">
        <is>
          <t>Communication Skills</t>
        </is>
      </c>
      <c r="K79" t="inlineStr">
        <is>
          <t>3rd</t>
        </is>
      </c>
      <c r="L79" t="inlineStr">
        <is>
          <t>ECE</t>
        </is>
      </c>
      <c r="M79" t="n">
        <v>2</v>
      </c>
      <c r="N79" t="n">
        <v>2</v>
      </c>
      <c r="O79" t="n">
        <v>2</v>
      </c>
      <c r="P79" t="n">
        <v>5</v>
      </c>
      <c r="Q79" t="n">
        <v>2</v>
      </c>
      <c r="R79" t="inlineStr">
        <is>
          <t>Yes</t>
        </is>
      </c>
      <c r="S79" t="inlineStr">
        <is>
          <t>Needs more practical examples.</t>
        </is>
      </c>
      <c r="T79" t="n">
        <v>2</v>
      </c>
      <c r="U79" t="n">
        <v>30</v>
      </c>
      <c r="V79" t="n">
        <v>5</v>
      </c>
      <c r="W79" t="n">
        <v>6</v>
      </c>
      <c r="X79" t="n">
        <v>26</v>
      </c>
      <c r="Y79" t="n">
        <v>9</v>
      </c>
      <c r="Z79" t="inlineStr">
        <is>
          <t>No</t>
        </is>
      </c>
      <c r="AA79">
        <f>IF(T79="","Missing",IF(T79&gt;=4,"High",IF(T79&gt;=3,"Moderate","Low")))</f>
        <v/>
      </c>
      <c r="AB79">
        <f>IF(COUNT(M79:O79)&lt;3,"Insufficient data",IF(MIN(M79:O79)=M79,"Teaching",IF(MIN(M79:O79)=N79,"Knowledge",IF(MIN(M79:O79)=O79,"Interaction",IF(P79&gt;=4,"High difficulty",IF(W79&gt;48,"Slow response","Balanced"))))))</f>
        <v/>
      </c>
      <c r="AC79">
        <f>IF(OR(T79&lt;3,P79&gt;=4,W79&gt;48),"At Risk","Stable")</f>
        <v/>
      </c>
      <c r="AD79">
        <f>IF(COUNT(M79:O79)&lt;3,"",ROUND((M79*0.30+N79*0.25+O79*0.25+(6-P79)*0.10+IF(W79&lt;=24,5,IF(W79&lt;=48,3,1))*0.10),2))</f>
        <v/>
      </c>
      <c r="AE79">
        <f>IF(AD79="","Unknown",IF(AD79&gt;=3.5,"Yes","No"))</f>
        <v/>
      </c>
      <c r="AF79">
        <f>IF(AC79="At Risk",IF(M79&lt;3,"Improve teaching clarity",IF(O79&lt;3,"Increase student interaction",IF(P79&gt;=4,"Reduce perceived difficulty with examples",IF(W79&gt;48,"Improve response time","Review student feedback")))),"Maintain current approach")</f>
        <v/>
      </c>
      <c r="AG79">
        <f>IF(AC79="At Risk","High",IF(T79&lt;4,"Medium","Low"))</f>
        <v/>
      </c>
    </row>
    <row r="80">
      <c r="A80" t="inlineStr">
        <is>
          <t>P009</t>
        </is>
      </c>
      <c r="B80" t="inlineStr">
        <is>
          <t>Dr. Priya Nanda</t>
        </is>
      </c>
      <c r="C80" t="inlineStr">
        <is>
          <t>Computer Science</t>
        </is>
      </c>
      <c r="D80" t="inlineStr">
        <is>
          <t>B.Tech (Computer Science)</t>
        </is>
      </c>
      <c r="E80" t="inlineStr">
        <is>
          <t>M.Tech (Machine Learning)</t>
        </is>
      </c>
      <c r="F80" t="inlineStr">
        <is>
          <t>Ph.D. in Computer Science</t>
        </is>
      </c>
      <c r="G80" t="inlineStr">
        <is>
          <t>Ph.D.</t>
        </is>
      </c>
      <c r="H80" t="inlineStr">
        <is>
          <t>Machine Learning</t>
        </is>
      </c>
      <c r="I80" t="inlineStr">
        <is>
          <t>Artificial Intelligence</t>
        </is>
      </c>
      <c r="J80" t="inlineStr">
        <is>
          <t>Data Mining</t>
        </is>
      </c>
      <c r="K80" t="inlineStr">
        <is>
          <t>4th</t>
        </is>
      </c>
      <c r="L80" t="inlineStr">
        <is>
          <t>Liberal Studies</t>
        </is>
      </c>
      <c r="M80" t="n">
        <v>5</v>
      </c>
      <c r="N80" t="n">
        <v>4</v>
      </c>
      <c r="O80" t="n">
        <v>4</v>
      </c>
      <c r="P80" t="n">
        <v>3</v>
      </c>
      <c r="Q80" t="n">
        <v>4</v>
      </c>
      <c r="R80" t="inlineStr">
        <is>
          <t>Yes</t>
        </is>
      </c>
      <c r="S80" t="inlineStr">
        <is>
          <t>Average teaching style.</t>
        </is>
      </c>
      <c r="T80" t="n">
        <v>4.33</v>
      </c>
      <c r="U80" t="n">
        <v>18</v>
      </c>
      <c r="V80" t="n">
        <v>6</v>
      </c>
      <c r="W80" t="n">
        <v>72</v>
      </c>
      <c r="X80" t="n">
        <v>23</v>
      </c>
      <c r="Y80" t="n">
        <v>6</v>
      </c>
      <c r="Z80" t="inlineStr">
        <is>
          <t>No</t>
        </is>
      </c>
      <c r="AA80">
        <f>IF(T80="","Missing",IF(T80&gt;=4,"High",IF(T80&gt;=3,"Moderate","Low")))</f>
        <v/>
      </c>
      <c r="AB80">
        <f>IF(COUNT(M80:O80)&lt;3,"Insufficient data",IF(MIN(M80:O80)=M80,"Teaching",IF(MIN(M80:O80)=N80,"Knowledge",IF(MIN(M80:O80)=O80,"Interaction",IF(P80&gt;=4,"High difficulty",IF(W80&gt;48,"Slow response","Balanced"))))))</f>
        <v/>
      </c>
      <c r="AC80">
        <f>IF(OR(T80&lt;3,P80&gt;=4,W80&gt;48),"At Risk","Stable")</f>
        <v/>
      </c>
      <c r="AD80">
        <f>IF(COUNT(M80:O80)&lt;3,"",ROUND((M80*0.30+N80*0.25+O80*0.25+(6-P80)*0.10+IF(W80&lt;=24,5,IF(W80&lt;=48,3,1))*0.10),2))</f>
        <v/>
      </c>
      <c r="AE80">
        <f>IF(AD80="","Unknown",IF(AD80&gt;=3.5,"Yes","No"))</f>
        <v/>
      </c>
      <c r="AF80">
        <f>IF(AC80="At Risk",IF(M80&lt;3,"Improve teaching clarity",IF(O80&lt;3,"Increase student interaction",IF(P80&gt;=4,"Reduce perceived difficulty with examples",IF(W80&gt;48,"Improve response time","Review student feedback")))),"Maintain current approach")</f>
        <v/>
      </c>
      <c r="AG80">
        <f>IF(AC80="At Risk","High",IF(T80&lt;4,"Medium","Low"))</f>
        <v/>
      </c>
    </row>
    <row r="81">
      <c r="A81" t="inlineStr">
        <is>
          <t>P010</t>
        </is>
      </c>
      <c r="B81" t="inlineStr">
        <is>
          <t>Dr. Mohit Arora</t>
        </is>
      </c>
      <c r="C81" t="inlineStr">
        <is>
          <t>Business</t>
        </is>
      </c>
      <c r="D81" t="inlineStr">
        <is>
          <t>BBA</t>
        </is>
      </c>
      <c r="E81" t="inlineStr">
        <is>
          <t>MBA (Business Analytics)</t>
        </is>
      </c>
      <c r="G81" t="inlineStr">
        <is>
          <t>MBA</t>
        </is>
      </c>
      <c r="H81" t="inlineStr">
        <is>
          <t>Business Analytics</t>
        </is>
      </c>
      <c r="I81" t="inlineStr">
        <is>
          <t>Operations Management</t>
        </is>
      </c>
      <c r="J81" t="inlineStr">
        <is>
          <t>Excel for Business</t>
        </is>
      </c>
      <c r="K81" t="inlineStr">
        <is>
          <t>3rd</t>
        </is>
      </c>
      <c r="L81" t="inlineStr">
        <is>
          <t>AI &amp; DS</t>
        </is>
      </c>
      <c r="M81" t="n">
        <v>5</v>
      </c>
      <c r="N81" t="n">
        <v>4</v>
      </c>
      <c r="O81" t="n">
        <v>2</v>
      </c>
      <c r="P81" t="n">
        <v>4</v>
      </c>
      <c r="Q81" t="n">
        <v>1</v>
      </c>
      <c r="R81" t="inlineStr">
        <is>
          <t>Yes</t>
        </is>
      </c>
      <c r="S81" t="inlineStr">
        <is>
          <t>Very supportive during class.</t>
        </is>
      </c>
      <c r="T81" t="n">
        <v>3.67</v>
      </c>
      <c r="U81" t="n">
        <v>30</v>
      </c>
      <c r="V81" t="n">
        <v>4</v>
      </c>
      <c r="W81" t="n">
        <v>6</v>
      </c>
      <c r="X81" t="n">
        <v>29</v>
      </c>
      <c r="Y81" t="n">
        <v>5</v>
      </c>
      <c r="Z81" t="inlineStr">
        <is>
          <t>Yes</t>
        </is>
      </c>
      <c r="AA81">
        <f>IF(T81="","Missing",IF(T81&gt;=4,"High",IF(T81&gt;=3,"Moderate","Low")))</f>
        <v/>
      </c>
      <c r="AB81">
        <f>IF(COUNT(M81:O81)&lt;3,"Insufficient data",IF(MIN(M81:O81)=M81,"Teaching",IF(MIN(M81:O81)=N81,"Knowledge",IF(MIN(M81:O81)=O81,"Interaction",IF(P81&gt;=4,"High difficulty",IF(W81&gt;48,"Slow response","Balanced"))))))</f>
        <v/>
      </c>
      <c r="AC81">
        <f>IF(OR(T81&lt;3,P81&gt;=4,W81&gt;48),"At Risk","Stable")</f>
        <v/>
      </c>
      <c r="AD81">
        <f>IF(COUNT(M81:O81)&lt;3,"",ROUND((M81*0.30+N81*0.25+O81*0.25+(6-P81)*0.10+IF(W81&lt;=24,5,IF(W81&lt;=48,3,1))*0.10),2))</f>
        <v/>
      </c>
      <c r="AE81">
        <f>IF(AD81="","Unknown",IF(AD81&gt;=3.5,"Yes","No"))</f>
        <v/>
      </c>
      <c r="AF81">
        <f>IF(AC81="At Risk",IF(M81&lt;3,"Improve teaching clarity",IF(O81&lt;3,"Increase student interaction",IF(P81&gt;=4,"Reduce perceived difficulty with examples",IF(W81&gt;48,"Improve response time","Review student feedback")))),"Maintain current approach")</f>
        <v/>
      </c>
      <c r="AG81">
        <f>IF(AC81="At Risk","High",IF(T81&lt;4,"Medium","Low"))</f>
        <v/>
      </c>
    </row>
    <row r="82">
      <c r="A82" t="inlineStr">
        <is>
          <t>P001</t>
        </is>
      </c>
      <c r="B82" t="inlineStr">
        <is>
          <t>Dr. Aditi Sharma</t>
        </is>
      </c>
      <c r="C82" t="inlineStr">
        <is>
          <t>Computer Science</t>
        </is>
      </c>
      <c r="D82" t="inlineStr">
        <is>
          <t>B.Tech (Computer Science)</t>
        </is>
      </c>
      <c r="E82" t="inlineStr">
        <is>
          <t>M.Tech (Computer Science &amp; Engineering)</t>
        </is>
      </c>
      <c r="F82" t="inlineStr">
        <is>
          <t>Ph.D. in Data Science</t>
        </is>
      </c>
      <c r="G82" t="inlineStr">
        <is>
          <t>Ph.D.</t>
        </is>
      </c>
      <c r="H82" t="inlineStr">
        <is>
          <t>Data Science</t>
        </is>
      </c>
      <c r="I82" t="inlineStr">
        <is>
          <t>Python Programming</t>
        </is>
      </c>
      <c r="J82" t="inlineStr">
        <is>
          <t>Data Visualization</t>
        </is>
      </c>
      <c r="K82" t="inlineStr">
        <is>
          <t>4th</t>
        </is>
      </c>
      <c r="L82" t="inlineStr">
        <is>
          <t>Law</t>
        </is>
      </c>
      <c r="M82" t="n">
        <v>2</v>
      </c>
      <c r="N82" t="n">
        <v>1</v>
      </c>
      <c r="O82" t="n">
        <v>3</v>
      </c>
      <c r="P82" t="n">
        <v>1</v>
      </c>
      <c r="Q82" t="n">
        <v>5</v>
      </c>
      <c r="R82" t="inlineStr">
        <is>
          <t>No</t>
        </is>
      </c>
      <c r="S82" t="inlineStr">
        <is>
          <t>Too fast sometimes.</t>
        </is>
      </c>
      <c r="T82" t="n">
        <v>2</v>
      </c>
      <c r="U82" t="n">
        <v>23</v>
      </c>
      <c r="V82" t="n">
        <v>1</v>
      </c>
      <c r="W82" t="n">
        <v>6</v>
      </c>
      <c r="X82" t="n">
        <v>18</v>
      </c>
      <c r="Y82" t="n">
        <v>5</v>
      </c>
      <c r="Z82" t="inlineStr">
        <is>
          <t>Yes</t>
        </is>
      </c>
      <c r="AA82">
        <f>IF(T82="","Missing",IF(T82&gt;=4,"High",IF(T82&gt;=3,"Moderate","Low")))</f>
        <v/>
      </c>
      <c r="AB82">
        <f>IF(COUNT(M82:O82)&lt;3,"Insufficient data",IF(MIN(M82:O82)=M82,"Teaching",IF(MIN(M82:O82)=N82,"Knowledge",IF(MIN(M82:O82)=O82,"Interaction",IF(P82&gt;=4,"High difficulty",IF(W82&gt;48,"Slow response","Balanced"))))))</f>
        <v/>
      </c>
      <c r="AC82">
        <f>IF(OR(T82&lt;3,P82&gt;=4,W82&gt;48),"At Risk","Stable")</f>
        <v/>
      </c>
      <c r="AD82">
        <f>IF(COUNT(M82:O82)&lt;3,"",ROUND((M82*0.30+N82*0.25+O82*0.25+(6-P82)*0.10+IF(W82&lt;=24,5,IF(W82&lt;=48,3,1))*0.10),2))</f>
        <v/>
      </c>
      <c r="AE82">
        <f>IF(AD82="","Unknown",IF(AD82&gt;=3.5,"Yes","No"))</f>
        <v/>
      </c>
      <c r="AF82">
        <f>IF(AC82="At Risk",IF(M82&lt;3,"Improve teaching clarity",IF(O82&lt;3,"Increase student interaction",IF(P82&gt;=4,"Reduce perceived difficulty with examples",IF(W82&gt;48,"Improve response time","Review student feedback")))),"Maintain current approach")</f>
        <v/>
      </c>
      <c r="AG82">
        <f>IF(AC82="At Risk","High",IF(T82&lt;4,"Medium","Low"))</f>
        <v/>
      </c>
    </row>
    <row r="83">
      <c r="A83" t="inlineStr">
        <is>
          <t>P002</t>
        </is>
      </c>
      <c r="B83" t="inlineStr">
        <is>
          <t>Dr. Rahul Mehta</t>
        </is>
      </c>
      <c r="C83" t="inlineStr">
        <is>
          <t>Computer Science</t>
        </is>
      </c>
      <c r="D83" t="inlineStr">
        <is>
          <t>B.Tech (Information Technology)</t>
        </is>
      </c>
      <c r="E83" t="inlineStr">
        <is>
          <t>M.Tech (Computer Science)</t>
        </is>
      </c>
      <c r="F83" t="inlineStr">
        <is>
          <t>Ph.D. in Artificial Intelligence</t>
        </is>
      </c>
      <c r="G83" t="inlineStr">
        <is>
          <t>Ph.D.</t>
        </is>
      </c>
      <c r="H83" t="inlineStr">
        <is>
          <t>Artificial Intelligence</t>
        </is>
      </c>
      <c r="I83" t="inlineStr">
        <is>
          <t>Data Structures</t>
        </is>
      </c>
      <c r="J83" t="inlineStr">
        <is>
          <t>Computer Networks</t>
        </is>
      </c>
      <c r="K83" t="inlineStr">
        <is>
          <t>3rd</t>
        </is>
      </c>
      <c r="L83" t="inlineStr">
        <is>
          <t>AI &amp; DS</t>
        </is>
      </c>
      <c r="M83" t="n">
        <v>2</v>
      </c>
      <c r="N83" t="n">
        <v>1</v>
      </c>
      <c r="O83" t="n">
        <v>5</v>
      </c>
      <c r="P83" t="n">
        <v>3</v>
      </c>
      <c r="Q83" t="n">
        <v>2</v>
      </c>
      <c r="R83" t="inlineStr">
        <is>
          <t>Yes</t>
        </is>
      </c>
      <c r="S83" t="inlineStr">
        <is>
          <t>Highly recommended.</t>
        </is>
      </c>
      <c r="T83" t="n">
        <v>2.67</v>
      </c>
      <c r="U83" t="n">
        <v>28</v>
      </c>
      <c r="V83" t="n">
        <v>0</v>
      </c>
      <c r="W83" t="n">
        <v>24</v>
      </c>
      <c r="X83" t="n">
        <v>24</v>
      </c>
      <c r="Y83" t="n">
        <v>2</v>
      </c>
      <c r="Z83" t="inlineStr">
        <is>
          <t>Yes</t>
        </is>
      </c>
      <c r="AA83">
        <f>IF(T83="","Missing",IF(T83&gt;=4,"High",IF(T83&gt;=3,"Moderate","Low")))</f>
        <v/>
      </c>
      <c r="AB83">
        <f>IF(COUNT(M83:O83)&lt;3,"Insufficient data",IF(MIN(M83:O83)=M83,"Teaching",IF(MIN(M83:O83)=N83,"Knowledge",IF(MIN(M83:O83)=O83,"Interaction",IF(P83&gt;=4,"High difficulty",IF(W83&gt;48,"Slow response","Balanced"))))))</f>
        <v/>
      </c>
      <c r="AC83">
        <f>IF(OR(T83&lt;3,P83&gt;=4,W83&gt;48),"At Risk","Stable")</f>
        <v/>
      </c>
      <c r="AD83">
        <f>IF(COUNT(M83:O83)&lt;3,"",ROUND((M83*0.30+N83*0.25+O83*0.25+(6-P83)*0.10+IF(W83&lt;=24,5,IF(W83&lt;=48,3,1))*0.10),2))</f>
        <v/>
      </c>
      <c r="AE83">
        <f>IF(AD83="","Unknown",IF(AD83&gt;=3.5,"Yes","No"))</f>
        <v/>
      </c>
      <c r="AF83">
        <f>IF(AC83="At Risk",IF(M83&lt;3,"Improve teaching clarity",IF(O83&lt;3,"Increase student interaction",IF(P83&gt;=4,"Reduce perceived difficulty with examples",IF(W83&gt;48,"Improve response time","Review student feedback")))),"Maintain current approach")</f>
        <v/>
      </c>
      <c r="AG83">
        <f>IF(AC83="At Risk","High",IF(T83&lt;4,"Medium","Low"))</f>
        <v/>
      </c>
    </row>
    <row r="84">
      <c r="A84" t="inlineStr">
        <is>
          <t>P003</t>
        </is>
      </c>
      <c r="B84" t="inlineStr">
        <is>
          <t>Prof. Neha Kapoor</t>
        </is>
      </c>
      <c r="C84" t="inlineStr">
        <is>
          <t>Business</t>
        </is>
      </c>
      <c r="D84" t="inlineStr">
        <is>
          <t>BBA</t>
        </is>
      </c>
      <c r="E84" t="inlineStr">
        <is>
          <t>MBA (Marketing)</t>
        </is>
      </c>
      <c r="F84" t="inlineStr">
        <is>
          <t>Ph.D. in Marketing Management</t>
        </is>
      </c>
      <c r="G84" t="inlineStr">
        <is>
          <t>Ph.D.</t>
        </is>
      </c>
      <c r="H84" t="inlineStr">
        <is>
          <t>Marketing</t>
        </is>
      </c>
      <c r="I84" t="inlineStr">
        <is>
          <t>Consumer Behaviour</t>
        </is>
      </c>
      <c r="J84" t="inlineStr">
        <is>
          <t>Digital Marketing</t>
        </is>
      </c>
      <c r="K84" t="inlineStr">
        <is>
          <t>4th</t>
        </is>
      </c>
      <c r="L84" t="inlineStr">
        <is>
          <t>AI &amp; DS</t>
        </is>
      </c>
      <c r="M84" t="n">
        <v>3</v>
      </c>
      <c r="N84" t="n">
        <v>4</v>
      </c>
      <c r="O84" t="n">
        <v>5</v>
      </c>
      <c r="P84" t="n">
        <v>4</v>
      </c>
      <c r="Q84" t="n">
        <v>2</v>
      </c>
      <c r="R84" t="inlineStr">
        <is>
          <t>Yes</t>
        </is>
      </c>
      <c r="S84" t="inlineStr">
        <is>
          <t>Helpful after lectures.</t>
        </is>
      </c>
      <c r="T84" t="n">
        <v>4</v>
      </c>
      <c r="U84" t="n">
        <v>24</v>
      </c>
      <c r="V84" t="n">
        <v>0</v>
      </c>
      <c r="W84" t="n">
        <v>12</v>
      </c>
      <c r="X84" t="n">
        <v>33</v>
      </c>
      <c r="Y84" t="n">
        <v>5</v>
      </c>
      <c r="Z84" t="inlineStr">
        <is>
          <t>No</t>
        </is>
      </c>
      <c r="AA84">
        <f>IF(T84="","Missing",IF(T84&gt;=4,"High",IF(T84&gt;=3,"Moderate","Low")))</f>
        <v/>
      </c>
      <c r="AB84">
        <f>IF(COUNT(M84:O84)&lt;3,"Insufficient data",IF(MIN(M84:O84)=M84,"Teaching",IF(MIN(M84:O84)=N84,"Knowledge",IF(MIN(M84:O84)=O84,"Interaction",IF(P84&gt;=4,"High difficulty",IF(W84&gt;48,"Slow response","Balanced"))))))</f>
        <v/>
      </c>
      <c r="AC84">
        <f>IF(OR(T84&lt;3,P84&gt;=4,W84&gt;48),"At Risk","Stable")</f>
        <v/>
      </c>
      <c r="AD84">
        <f>IF(COUNT(M84:O84)&lt;3,"",ROUND((M84*0.30+N84*0.25+O84*0.25+(6-P84)*0.10+IF(W84&lt;=24,5,IF(W84&lt;=48,3,1))*0.10),2))</f>
        <v/>
      </c>
      <c r="AE84">
        <f>IF(AD84="","Unknown",IF(AD84&gt;=3.5,"Yes","No"))</f>
        <v/>
      </c>
      <c r="AF84">
        <f>IF(AC84="At Risk",IF(M84&lt;3,"Improve teaching clarity",IF(O84&lt;3,"Increase student interaction",IF(P84&gt;=4,"Reduce perceived difficulty with examples",IF(W84&gt;48,"Improve response time","Review student feedback")))),"Maintain current approach")</f>
        <v/>
      </c>
      <c r="AG84">
        <f>IF(AC84="At Risk","High",IF(T84&lt;4,"Medium","Low"))</f>
        <v/>
      </c>
    </row>
    <row r="85">
      <c r="A85" t="inlineStr">
        <is>
          <t>P004</t>
        </is>
      </c>
      <c r="B85" t="inlineStr">
        <is>
          <t>Dr. Arjun Verma</t>
        </is>
      </c>
      <c r="C85" t="inlineStr">
        <is>
          <t>Business</t>
        </is>
      </c>
      <c r="D85" t="inlineStr">
        <is>
          <t>B.Com</t>
        </is>
      </c>
      <c r="E85" t="inlineStr">
        <is>
          <t>MBA (Finance)</t>
        </is>
      </c>
      <c r="F85" t="inlineStr">
        <is>
          <t>Ph.D. in Finance</t>
        </is>
      </c>
      <c r="G85" t="inlineStr">
        <is>
          <t>Ph.D.</t>
        </is>
      </c>
      <c r="H85" t="inlineStr">
        <is>
          <t>Finance</t>
        </is>
      </c>
      <c r="I85" t="inlineStr">
        <is>
          <t>Investment Analysis</t>
        </is>
      </c>
      <c r="J85" t="inlineStr">
        <is>
          <t>Business Statistics</t>
        </is>
      </c>
      <c r="K85" t="inlineStr">
        <is>
          <t>2nd</t>
        </is>
      </c>
      <c r="L85" t="inlineStr">
        <is>
          <t>ECE</t>
        </is>
      </c>
      <c r="M85" t="n">
        <v>4</v>
      </c>
      <c r="N85" t="n">
        <v>3</v>
      </c>
      <c r="O85" t="n">
        <v>3</v>
      </c>
      <c r="P85" t="n">
        <v>2</v>
      </c>
      <c r="Q85" t="n">
        <v>1</v>
      </c>
      <c r="R85" t="inlineStr">
        <is>
          <t>Yes</t>
        </is>
      </c>
      <c r="S85" t="inlineStr">
        <is>
          <t>Interactive sessions.</t>
        </is>
      </c>
      <c r="T85" t="n">
        <v>3.33</v>
      </c>
      <c r="U85" t="n">
        <v>21</v>
      </c>
      <c r="V85" t="n">
        <v>3</v>
      </c>
      <c r="W85" t="n">
        <v>24</v>
      </c>
      <c r="X85" t="n">
        <v>29</v>
      </c>
      <c r="Y85" t="n">
        <v>9</v>
      </c>
      <c r="Z85" t="inlineStr">
        <is>
          <t>No</t>
        </is>
      </c>
      <c r="AA85">
        <f>IF(T85="","Missing",IF(T85&gt;=4,"High",IF(T85&gt;=3,"Moderate","Low")))</f>
        <v/>
      </c>
      <c r="AB85">
        <f>IF(COUNT(M85:O85)&lt;3,"Insufficient data",IF(MIN(M85:O85)=M85,"Teaching",IF(MIN(M85:O85)=N85,"Knowledge",IF(MIN(M85:O85)=O85,"Interaction",IF(P85&gt;=4,"High difficulty",IF(W85&gt;48,"Slow response","Balanced"))))))</f>
        <v/>
      </c>
      <c r="AC85">
        <f>IF(OR(T85&lt;3,P85&gt;=4,W85&gt;48),"At Risk","Stable")</f>
        <v/>
      </c>
      <c r="AD85">
        <f>IF(COUNT(M85:O85)&lt;3,"",ROUND((M85*0.30+N85*0.25+O85*0.25+(6-P85)*0.10+IF(W85&lt;=24,5,IF(W85&lt;=48,3,1))*0.10),2))</f>
        <v/>
      </c>
      <c r="AE85">
        <f>IF(AD85="","Unknown",IF(AD85&gt;=3.5,"Yes","No"))</f>
        <v/>
      </c>
      <c r="AF85">
        <f>IF(AC85="At Risk",IF(M85&lt;3,"Improve teaching clarity",IF(O85&lt;3,"Increase student interaction",IF(P85&gt;=4,"Reduce perceived difficulty with examples",IF(W85&gt;48,"Improve response time","Review student feedback")))),"Maintain current approach")</f>
        <v/>
      </c>
      <c r="AG85">
        <f>IF(AC85="At Risk","High",IF(T85&lt;4,"Medium","Low"))</f>
        <v/>
      </c>
    </row>
    <row r="86">
      <c r="A86" t="inlineStr">
        <is>
          <t>P005</t>
        </is>
      </c>
      <c r="B86" t="inlineStr">
        <is>
          <t>Dr. Simran Kaur</t>
        </is>
      </c>
      <c r="C86" t="inlineStr">
        <is>
          <t>Law</t>
        </is>
      </c>
      <c r="D86" t="inlineStr">
        <is>
          <t>B.A. LL.B. (Hons.)</t>
        </is>
      </c>
      <c r="E86" t="inlineStr">
        <is>
          <t>LL.M. (Constitutional Law)</t>
        </is>
      </c>
      <c r="F86" t="inlineStr">
        <is>
          <t>Ph.D. in Constitutional Law</t>
        </is>
      </c>
      <c r="G86" t="inlineStr">
        <is>
          <t>Ph.D.</t>
        </is>
      </c>
      <c r="H86" t="inlineStr">
        <is>
          <t>Constitutional Law</t>
        </is>
      </c>
      <c r="I86" t="inlineStr">
        <is>
          <t>Legal Research</t>
        </is>
      </c>
      <c r="J86" t="inlineStr">
        <is>
          <t>Jurisprudence</t>
        </is>
      </c>
      <c r="K86" t="inlineStr">
        <is>
          <t>3rd</t>
        </is>
      </c>
      <c r="L86" t="inlineStr">
        <is>
          <t>Law</t>
        </is>
      </c>
      <c r="M86" t="n">
        <v>4</v>
      </c>
      <c r="N86" t="n">
        <v>5</v>
      </c>
      <c r="O86" t="n">
        <v>3</v>
      </c>
      <c r="P86" t="n">
        <v>3</v>
      </c>
      <c r="Q86" t="n">
        <v>4</v>
      </c>
      <c r="R86" t="inlineStr">
        <is>
          <t>Yes</t>
        </is>
      </c>
      <c r="S86" t="inlineStr">
        <is>
          <t>Too fast sometimes.</t>
        </is>
      </c>
      <c r="T86" t="n">
        <v>4</v>
      </c>
      <c r="U86" t="n">
        <v>32</v>
      </c>
      <c r="V86" t="n">
        <v>1</v>
      </c>
      <c r="W86" t="n">
        <v>2</v>
      </c>
      <c r="X86" t="n">
        <v>0</v>
      </c>
      <c r="Y86" t="n">
        <v>15</v>
      </c>
      <c r="Z86" t="inlineStr">
        <is>
          <t>No</t>
        </is>
      </c>
      <c r="AA86">
        <f>IF(T86="","Missing",IF(T86&gt;=4,"High",IF(T86&gt;=3,"Moderate","Low")))</f>
        <v/>
      </c>
      <c r="AB86">
        <f>IF(COUNT(M86:O86)&lt;3,"Insufficient data",IF(MIN(M86:O86)=M86,"Teaching",IF(MIN(M86:O86)=N86,"Knowledge",IF(MIN(M86:O86)=O86,"Interaction",IF(P86&gt;=4,"High difficulty",IF(W86&gt;48,"Slow response","Balanced"))))))</f>
        <v/>
      </c>
      <c r="AC86">
        <f>IF(OR(T86&lt;3,P86&gt;=4,W86&gt;48),"At Risk","Stable")</f>
        <v/>
      </c>
      <c r="AD86">
        <f>IF(COUNT(M86:O86)&lt;3,"",ROUND((M86*0.30+N86*0.25+O86*0.25+(6-P86)*0.10+IF(W86&lt;=24,5,IF(W86&lt;=48,3,1))*0.10),2))</f>
        <v/>
      </c>
      <c r="AE86">
        <f>IF(AD86="","Unknown",IF(AD86&gt;=3.5,"Yes","No"))</f>
        <v/>
      </c>
      <c r="AF86">
        <f>IF(AC86="At Risk",IF(M86&lt;3,"Improve teaching clarity",IF(O86&lt;3,"Increase student interaction",IF(P86&gt;=4,"Reduce perceived difficulty with examples",IF(W86&gt;48,"Improve response time","Review student feedback")))),"Maintain current approach")</f>
        <v/>
      </c>
      <c r="AG86">
        <f>IF(AC86="At Risk","High",IF(T86&lt;4,"Medium","Low"))</f>
        <v/>
      </c>
    </row>
    <row r="87">
      <c r="A87" t="inlineStr">
        <is>
          <t>P006</t>
        </is>
      </c>
      <c r="B87" t="inlineStr">
        <is>
          <t>Prof. Vivek Saini</t>
        </is>
      </c>
      <c r="C87" t="inlineStr">
        <is>
          <t>Law</t>
        </is>
      </c>
      <c r="D87" t="inlineStr">
        <is>
          <t>B.A. LL.B.</t>
        </is>
      </c>
      <c r="E87" t="inlineStr">
        <is>
          <t>LL.M. (Corporate Law)</t>
        </is>
      </c>
      <c r="G87" t="inlineStr">
        <is>
          <t>LL.M.</t>
        </is>
      </c>
      <c r="H87" t="inlineStr">
        <is>
          <t>Corporate Law</t>
        </is>
      </c>
      <c r="I87" t="inlineStr">
        <is>
          <t>Cyber Law</t>
        </is>
      </c>
      <c r="J87" t="inlineStr">
        <is>
          <t>IPR</t>
        </is>
      </c>
      <c r="K87" t="inlineStr">
        <is>
          <t>2nd</t>
        </is>
      </c>
      <c r="L87" t="inlineStr">
        <is>
          <t>Law</t>
        </is>
      </c>
      <c r="M87" t="n">
        <v>3</v>
      </c>
      <c r="N87" t="n">
        <v>3</v>
      </c>
      <c r="O87" t="n">
        <v>5</v>
      </c>
      <c r="P87" t="n">
        <v>4</v>
      </c>
      <c r="Q87" t="n">
        <v>1</v>
      </c>
      <c r="R87" t="inlineStr">
        <is>
          <t>Yes</t>
        </is>
      </c>
      <c r="S87" t="inlineStr">
        <is>
          <t>Very supportive during class.</t>
        </is>
      </c>
      <c r="T87" t="n">
        <v>3.67</v>
      </c>
      <c r="U87" t="n">
        <v>22</v>
      </c>
      <c r="V87" t="n">
        <v>2</v>
      </c>
      <c r="W87" t="n">
        <v>12</v>
      </c>
      <c r="X87" t="n">
        <v>23</v>
      </c>
      <c r="Y87" t="n">
        <v>2</v>
      </c>
      <c r="Z87" t="inlineStr">
        <is>
          <t>No</t>
        </is>
      </c>
      <c r="AA87">
        <f>IF(T87="","Missing",IF(T87&gt;=4,"High",IF(T87&gt;=3,"Moderate","Low")))</f>
        <v/>
      </c>
      <c r="AB87">
        <f>IF(COUNT(M87:O87)&lt;3,"Insufficient data",IF(MIN(M87:O87)=M87,"Teaching",IF(MIN(M87:O87)=N87,"Knowledge",IF(MIN(M87:O87)=O87,"Interaction",IF(P87&gt;=4,"High difficulty",IF(W87&gt;48,"Slow response","Balanced"))))))</f>
        <v/>
      </c>
      <c r="AC87">
        <f>IF(OR(T87&lt;3,P87&gt;=4,W87&gt;48),"At Risk","Stable")</f>
        <v/>
      </c>
      <c r="AD87">
        <f>IF(COUNT(M87:O87)&lt;3,"",ROUND((M87*0.30+N87*0.25+O87*0.25+(6-P87)*0.10+IF(W87&lt;=24,5,IF(W87&lt;=48,3,1))*0.10),2))</f>
        <v/>
      </c>
      <c r="AE87">
        <f>IF(AD87="","Unknown",IF(AD87&gt;=3.5,"Yes","No"))</f>
        <v/>
      </c>
      <c r="AF87">
        <f>IF(AC87="At Risk",IF(M87&lt;3,"Improve teaching clarity",IF(O87&lt;3,"Increase student interaction",IF(P87&gt;=4,"Reduce perceived difficulty with examples",IF(W87&gt;48,"Improve response time","Review student feedback")))),"Maintain current approach")</f>
        <v/>
      </c>
      <c r="AG87">
        <f>IF(AC87="At Risk","High",IF(T87&lt;4,"Medium","Low"))</f>
        <v/>
      </c>
    </row>
    <row r="88">
      <c r="A88" t="inlineStr">
        <is>
          <t>P007</t>
        </is>
      </c>
      <c r="B88" t="inlineStr">
        <is>
          <t>Dr. Ritu Joshi</t>
        </is>
      </c>
      <c r="C88" t="inlineStr">
        <is>
          <t>Liberal Studies</t>
        </is>
      </c>
      <c r="D88" t="inlineStr">
        <is>
          <t>B.A. (Psychology)</t>
        </is>
      </c>
      <c r="E88" t="inlineStr">
        <is>
          <t>M.A. (Psychology)</t>
        </is>
      </c>
      <c r="F88" t="inlineStr">
        <is>
          <t>Ph.D. in Psychology</t>
        </is>
      </c>
      <c r="G88" t="inlineStr">
        <is>
          <t>Ph.D.</t>
        </is>
      </c>
      <c r="H88" t="inlineStr">
        <is>
          <t>Psychology</t>
        </is>
      </c>
      <c r="I88" t="inlineStr">
        <is>
          <t>Research Methodology</t>
        </is>
      </c>
      <c r="J88" t="inlineStr">
        <is>
          <t>Personality Development</t>
        </is>
      </c>
      <c r="K88" t="inlineStr">
        <is>
          <t>2nd</t>
        </is>
      </c>
      <c r="L88" t="inlineStr">
        <is>
          <t>ECE</t>
        </is>
      </c>
      <c r="M88" t="n">
        <v>2</v>
      </c>
      <c r="N88" t="n">
        <v>1</v>
      </c>
      <c r="O88" t="n">
        <v>3</v>
      </c>
      <c r="P88" t="n">
        <v>3</v>
      </c>
      <c r="Q88" t="n">
        <v>5</v>
      </c>
      <c r="R88" t="inlineStr">
        <is>
          <t>Yes</t>
        </is>
      </c>
      <c r="S88" t="inlineStr">
        <is>
          <t>Explains concepts clearly.</t>
        </is>
      </c>
      <c r="T88" t="n">
        <v>2</v>
      </c>
      <c r="U88" t="n">
        <v>42</v>
      </c>
      <c r="V88" t="n">
        <v>4</v>
      </c>
      <c r="W88" t="n">
        <v>12</v>
      </c>
      <c r="X88" t="n">
        <v>8</v>
      </c>
      <c r="Y88" t="n">
        <v>0</v>
      </c>
      <c r="Z88" t="inlineStr">
        <is>
          <t>Yes</t>
        </is>
      </c>
      <c r="AA88">
        <f>IF(T88="","Missing",IF(T88&gt;=4,"High",IF(T88&gt;=3,"Moderate","Low")))</f>
        <v/>
      </c>
      <c r="AB88">
        <f>IF(COUNT(M88:O88)&lt;3,"Insufficient data",IF(MIN(M88:O88)=M88,"Teaching",IF(MIN(M88:O88)=N88,"Knowledge",IF(MIN(M88:O88)=O88,"Interaction",IF(P88&gt;=4,"High difficulty",IF(W88&gt;48,"Slow response","Balanced"))))))</f>
        <v/>
      </c>
      <c r="AC88">
        <f>IF(OR(T88&lt;3,P88&gt;=4,W88&gt;48),"At Risk","Stable")</f>
        <v/>
      </c>
      <c r="AD88">
        <f>IF(COUNT(M88:O88)&lt;3,"",ROUND((M88*0.30+N88*0.25+O88*0.25+(6-P88)*0.10+IF(W88&lt;=24,5,IF(W88&lt;=48,3,1))*0.10),2))</f>
        <v/>
      </c>
      <c r="AE88">
        <f>IF(AD88="","Unknown",IF(AD88&gt;=3.5,"Yes","No"))</f>
        <v/>
      </c>
      <c r="AF88">
        <f>IF(AC88="At Risk",IF(M88&lt;3,"Improve teaching clarity",IF(O88&lt;3,"Increase student interaction",IF(P88&gt;=4,"Reduce perceived difficulty with examples",IF(W88&gt;48,"Improve response time","Review student feedback")))),"Maintain current approach")</f>
        <v/>
      </c>
      <c r="AG88">
        <f>IF(AC88="At Risk","High",IF(T88&lt;4,"Medium","Low"))</f>
        <v/>
      </c>
    </row>
    <row r="89">
      <c r="A89" t="inlineStr">
        <is>
          <t>P008</t>
        </is>
      </c>
      <c r="B89" t="inlineStr">
        <is>
          <t>Prof. Karan Bhatia</t>
        </is>
      </c>
      <c r="C89" t="inlineStr">
        <is>
          <t>Liberal Studies</t>
        </is>
      </c>
      <c r="D89" t="inlineStr">
        <is>
          <t>B.A. (Sociology)</t>
        </is>
      </c>
      <c r="E89" t="inlineStr">
        <is>
          <t>M.A. (Sociology)</t>
        </is>
      </c>
      <c r="G89" t="inlineStr">
        <is>
          <t>M.A.</t>
        </is>
      </c>
      <c r="H89" t="inlineStr">
        <is>
          <t>Sociology</t>
        </is>
      </c>
      <c r="I89" t="inlineStr">
        <is>
          <t>Critical Thinking</t>
        </is>
      </c>
      <c r="J89" t="inlineStr">
        <is>
          <t>Communication Skills</t>
        </is>
      </c>
      <c r="K89" t="inlineStr">
        <is>
          <t>3rd</t>
        </is>
      </c>
      <c r="L89" t="inlineStr">
        <is>
          <t>Business</t>
        </is>
      </c>
      <c r="M89" t="n">
        <v>2</v>
      </c>
      <c r="N89" t="n">
        <v>1</v>
      </c>
      <c r="O89" t="n">
        <v>3</v>
      </c>
      <c r="P89" t="n">
        <v>2</v>
      </c>
      <c r="Q89" t="n">
        <v>2</v>
      </c>
      <c r="R89" t="inlineStr">
        <is>
          <t>Yes</t>
        </is>
      </c>
      <c r="S89" t="inlineStr">
        <is>
          <t>Interactive sessions.</t>
        </is>
      </c>
      <c r="T89" t="n">
        <v>2</v>
      </c>
      <c r="U89" t="n">
        <v>37</v>
      </c>
      <c r="V89" t="n">
        <v>6</v>
      </c>
      <c r="W89" t="n">
        <v>6</v>
      </c>
      <c r="X89" t="n">
        <v>10</v>
      </c>
      <c r="Y89" t="n">
        <v>10</v>
      </c>
      <c r="Z89" t="inlineStr">
        <is>
          <t>No</t>
        </is>
      </c>
      <c r="AA89">
        <f>IF(T89="","Missing",IF(T89&gt;=4,"High",IF(T89&gt;=3,"Moderate","Low")))</f>
        <v/>
      </c>
      <c r="AB89">
        <f>IF(COUNT(M89:O89)&lt;3,"Insufficient data",IF(MIN(M89:O89)=M89,"Teaching",IF(MIN(M89:O89)=N89,"Knowledge",IF(MIN(M89:O89)=O89,"Interaction",IF(P89&gt;=4,"High difficulty",IF(W89&gt;48,"Slow response","Balanced"))))))</f>
        <v/>
      </c>
      <c r="AC89">
        <f>IF(OR(T89&lt;3,P89&gt;=4,W89&gt;48),"At Risk","Stable")</f>
        <v/>
      </c>
      <c r="AD89">
        <f>IF(COUNT(M89:O89)&lt;3,"",ROUND((M89*0.30+N89*0.25+O89*0.25+(6-P89)*0.10+IF(W89&lt;=24,5,IF(W89&lt;=48,3,1))*0.10),2))</f>
        <v/>
      </c>
      <c r="AE89">
        <f>IF(AD89="","Unknown",IF(AD89&gt;=3.5,"Yes","No"))</f>
        <v/>
      </c>
      <c r="AF89">
        <f>IF(AC89="At Risk",IF(M89&lt;3,"Improve teaching clarity",IF(O89&lt;3,"Increase student interaction",IF(P89&gt;=4,"Reduce perceived difficulty with examples",IF(W89&gt;48,"Improve response time","Review student feedback")))),"Maintain current approach")</f>
        <v/>
      </c>
      <c r="AG89">
        <f>IF(AC89="At Risk","High",IF(T89&lt;4,"Medium","Low"))</f>
        <v/>
      </c>
    </row>
    <row r="90">
      <c r="A90" t="inlineStr">
        <is>
          <t>P009</t>
        </is>
      </c>
      <c r="B90" t="inlineStr">
        <is>
          <t>Dr. Priya Nanda</t>
        </is>
      </c>
      <c r="C90" t="inlineStr">
        <is>
          <t>Computer Science</t>
        </is>
      </c>
      <c r="D90" t="inlineStr">
        <is>
          <t>B.Tech (Computer Science)</t>
        </is>
      </c>
      <c r="E90" t="inlineStr">
        <is>
          <t>M.Tech (Machine Learning)</t>
        </is>
      </c>
      <c r="F90" t="inlineStr">
        <is>
          <t>Ph.D. in Computer Science</t>
        </is>
      </c>
      <c r="G90" t="inlineStr">
        <is>
          <t>Ph.D.</t>
        </is>
      </c>
      <c r="H90" t="inlineStr">
        <is>
          <t>Machine Learning</t>
        </is>
      </c>
      <c r="I90" t="inlineStr">
        <is>
          <t>Artificial Intelligence</t>
        </is>
      </c>
      <c r="J90" t="inlineStr">
        <is>
          <t>Data Mining</t>
        </is>
      </c>
      <c r="K90" t="inlineStr">
        <is>
          <t>4th</t>
        </is>
      </c>
      <c r="L90" t="inlineStr">
        <is>
          <t>Law</t>
        </is>
      </c>
      <c r="M90" t="n">
        <v>5</v>
      </c>
      <c r="N90" t="n">
        <v>4</v>
      </c>
      <c r="O90" t="n">
        <v>4</v>
      </c>
      <c r="P90" t="n">
        <v>2</v>
      </c>
      <c r="Q90" t="n">
        <v>5</v>
      </c>
      <c r="R90" t="inlineStr">
        <is>
          <t>Yes</t>
        </is>
      </c>
      <c r="S90" t="inlineStr">
        <is>
          <t>Assignments are difficult.</t>
        </is>
      </c>
      <c r="T90" t="n">
        <v>4.33</v>
      </c>
      <c r="V90" t="n">
        <v>4</v>
      </c>
      <c r="W90" t="n">
        <v>4</v>
      </c>
      <c r="X90" t="n">
        <v>20</v>
      </c>
      <c r="Y90" t="n">
        <v>11</v>
      </c>
      <c r="Z90" t="inlineStr">
        <is>
          <t>Yes</t>
        </is>
      </c>
      <c r="AA90">
        <f>IF(T90="","Missing",IF(T90&gt;=4,"High",IF(T90&gt;=3,"Moderate","Low")))</f>
        <v/>
      </c>
      <c r="AB90">
        <f>IF(COUNT(M90:O90)&lt;3,"Insufficient data",IF(MIN(M90:O90)=M90,"Teaching",IF(MIN(M90:O90)=N90,"Knowledge",IF(MIN(M90:O90)=O90,"Interaction",IF(P90&gt;=4,"High difficulty",IF(W90&gt;48,"Slow response","Balanced"))))))</f>
        <v/>
      </c>
      <c r="AC90">
        <f>IF(OR(T90&lt;3,P90&gt;=4,W90&gt;48),"At Risk","Stable")</f>
        <v/>
      </c>
      <c r="AD90">
        <f>IF(COUNT(M90:O90)&lt;3,"",ROUND((M90*0.30+N90*0.25+O90*0.25+(6-P90)*0.10+IF(W90&lt;=24,5,IF(W90&lt;=48,3,1))*0.10),2))</f>
        <v/>
      </c>
      <c r="AE90">
        <f>IF(AD90="","Unknown",IF(AD90&gt;=3.5,"Yes","No"))</f>
        <v/>
      </c>
      <c r="AF90">
        <f>IF(AC90="At Risk",IF(M90&lt;3,"Improve teaching clarity",IF(O90&lt;3,"Increase student interaction",IF(P90&gt;=4,"Reduce perceived difficulty with examples",IF(W90&gt;48,"Improve response time","Review student feedback")))),"Maintain current approach")</f>
        <v/>
      </c>
      <c r="AG90">
        <f>IF(AC90="At Risk","High",IF(T90&lt;4,"Medium","Low"))</f>
        <v/>
      </c>
    </row>
    <row r="91">
      <c r="A91" t="inlineStr">
        <is>
          <t>P010</t>
        </is>
      </c>
      <c r="B91" t="inlineStr">
        <is>
          <t>Dr. Mohit Arora</t>
        </is>
      </c>
      <c r="C91" t="inlineStr">
        <is>
          <t>Business</t>
        </is>
      </c>
      <c r="D91" t="inlineStr">
        <is>
          <t>BBA</t>
        </is>
      </c>
      <c r="E91" t="inlineStr">
        <is>
          <t>MBA (Business Analytics)</t>
        </is>
      </c>
      <c r="G91" t="inlineStr">
        <is>
          <t>MBA</t>
        </is>
      </c>
      <c r="H91" t="inlineStr">
        <is>
          <t>Business Analytics</t>
        </is>
      </c>
      <c r="I91" t="inlineStr">
        <is>
          <t>Operations Management</t>
        </is>
      </c>
      <c r="J91" t="inlineStr">
        <is>
          <t>Excel for Business</t>
        </is>
      </c>
      <c r="K91" t="inlineStr">
        <is>
          <t>2nd</t>
        </is>
      </c>
      <c r="L91" t="inlineStr">
        <is>
          <t>ECE</t>
        </is>
      </c>
      <c r="M91" t="n">
        <v>3</v>
      </c>
      <c r="N91" t="n">
        <v>2</v>
      </c>
      <c r="O91" t="n">
        <v>5</v>
      </c>
      <c r="P91" t="n">
        <v>3</v>
      </c>
      <c r="Q91" t="n">
        <v>3</v>
      </c>
      <c r="R91" t="inlineStr">
        <is>
          <t>No</t>
        </is>
      </c>
      <c r="S91" t="inlineStr">
        <is>
          <t>Needs more practical examples.</t>
        </is>
      </c>
      <c r="T91" t="n">
        <v>3.33</v>
      </c>
      <c r="U91" t="n">
        <v>26</v>
      </c>
      <c r="V91" t="n">
        <v>0</v>
      </c>
      <c r="W91" t="n">
        <v>72</v>
      </c>
      <c r="X91" t="n">
        <v>33</v>
      </c>
      <c r="Y91" t="n">
        <v>1</v>
      </c>
      <c r="Z91" t="inlineStr">
        <is>
          <t>No</t>
        </is>
      </c>
      <c r="AA91">
        <f>IF(T91="","Missing",IF(T91&gt;=4,"High",IF(T91&gt;=3,"Moderate","Low")))</f>
        <v/>
      </c>
      <c r="AB91">
        <f>IF(COUNT(M91:O91)&lt;3,"Insufficient data",IF(MIN(M91:O91)=M91,"Teaching",IF(MIN(M91:O91)=N91,"Knowledge",IF(MIN(M91:O91)=O91,"Interaction",IF(P91&gt;=4,"High difficulty",IF(W91&gt;48,"Slow response","Balanced"))))))</f>
        <v/>
      </c>
      <c r="AC91">
        <f>IF(OR(T91&lt;3,P91&gt;=4,W91&gt;48),"At Risk","Stable")</f>
        <v/>
      </c>
      <c r="AD91">
        <f>IF(COUNT(M91:O91)&lt;3,"",ROUND((M91*0.30+N91*0.25+O91*0.25+(6-P91)*0.10+IF(W91&lt;=24,5,IF(W91&lt;=48,3,1))*0.10),2))</f>
        <v/>
      </c>
      <c r="AE91">
        <f>IF(AD91="","Unknown",IF(AD91&gt;=3.5,"Yes","No"))</f>
        <v/>
      </c>
      <c r="AF91">
        <f>IF(AC91="At Risk",IF(M91&lt;3,"Improve teaching clarity",IF(O91&lt;3,"Increase student interaction",IF(P91&gt;=4,"Reduce perceived difficulty with examples",IF(W91&gt;48,"Improve response time","Review student feedback")))),"Maintain current approach")</f>
        <v/>
      </c>
      <c r="AG91">
        <f>IF(AC91="At Risk","High",IF(T91&lt;4,"Medium","Low"))</f>
        <v/>
      </c>
    </row>
    <row r="92">
      <c r="A92" t="inlineStr">
        <is>
          <t>P001</t>
        </is>
      </c>
      <c r="B92" t="inlineStr">
        <is>
          <t>Dr. Aditi Sharma</t>
        </is>
      </c>
      <c r="C92" t="inlineStr">
        <is>
          <t>Computer Science</t>
        </is>
      </c>
      <c r="D92" t="inlineStr">
        <is>
          <t>B.Tech (Computer Science)</t>
        </is>
      </c>
      <c r="E92" t="inlineStr">
        <is>
          <t>M.Tech (Computer Science &amp; Engineering)</t>
        </is>
      </c>
      <c r="F92" t="inlineStr">
        <is>
          <t>Ph.D. in Data Science</t>
        </is>
      </c>
      <c r="G92" t="inlineStr">
        <is>
          <t>Ph.D.</t>
        </is>
      </c>
      <c r="H92" t="inlineStr">
        <is>
          <t>Data Science</t>
        </is>
      </c>
      <c r="I92" t="inlineStr">
        <is>
          <t>Python Programming</t>
        </is>
      </c>
      <c r="J92" t="inlineStr">
        <is>
          <t>Data Visualization</t>
        </is>
      </c>
      <c r="K92" t="inlineStr">
        <is>
          <t>3rd</t>
        </is>
      </c>
      <c r="L92" t="inlineStr">
        <is>
          <t>Liberal Studies</t>
        </is>
      </c>
      <c r="M92" t="n">
        <v>5</v>
      </c>
      <c r="N92" t="n">
        <v>5</v>
      </c>
      <c r="O92" t="n">
        <v>2</v>
      </c>
      <c r="P92" t="n">
        <v>4</v>
      </c>
      <c r="Q92" t="n">
        <v>3</v>
      </c>
      <c r="R92" t="inlineStr">
        <is>
          <t>Yes</t>
        </is>
      </c>
      <c r="S92" t="inlineStr">
        <is>
          <t>Assignments are difficult.</t>
        </is>
      </c>
      <c r="T92" t="n">
        <v>4</v>
      </c>
      <c r="U92" t="n">
        <v>30</v>
      </c>
      <c r="V92" t="n">
        <v>2</v>
      </c>
      <c r="W92" t="n">
        <v>24</v>
      </c>
      <c r="X92" t="n">
        <v>9</v>
      </c>
      <c r="Y92" t="n">
        <v>11</v>
      </c>
      <c r="Z92" t="inlineStr">
        <is>
          <t>No</t>
        </is>
      </c>
      <c r="AA92">
        <f>IF(T92="","Missing",IF(T92&gt;=4,"High",IF(T92&gt;=3,"Moderate","Low")))</f>
        <v/>
      </c>
      <c r="AB92">
        <f>IF(COUNT(M92:O92)&lt;3,"Insufficient data",IF(MIN(M92:O92)=M92,"Teaching",IF(MIN(M92:O92)=N92,"Knowledge",IF(MIN(M92:O92)=O92,"Interaction",IF(P92&gt;=4,"High difficulty",IF(W92&gt;48,"Slow response","Balanced"))))))</f>
        <v/>
      </c>
      <c r="AC92">
        <f>IF(OR(T92&lt;3,P92&gt;=4,W92&gt;48),"At Risk","Stable")</f>
        <v/>
      </c>
      <c r="AD92">
        <f>IF(COUNT(M92:O92)&lt;3,"",ROUND((M92*0.30+N92*0.25+O92*0.25+(6-P92)*0.10+IF(W92&lt;=24,5,IF(W92&lt;=48,3,1))*0.10),2))</f>
        <v/>
      </c>
      <c r="AE92">
        <f>IF(AD92="","Unknown",IF(AD92&gt;=3.5,"Yes","No"))</f>
        <v/>
      </c>
      <c r="AF92">
        <f>IF(AC92="At Risk",IF(M92&lt;3,"Improve teaching clarity",IF(O92&lt;3,"Increase student interaction",IF(P92&gt;=4,"Reduce perceived difficulty with examples",IF(W92&gt;48,"Improve response time","Review student feedback")))),"Maintain current approach")</f>
        <v/>
      </c>
      <c r="AG92">
        <f>IF(AC92="At Risk","High",IF(T92&lt;4,"Medium","Low"))</f>
        <v/>
      </c>
    </row>
    <row r="93">
      <c r="A93" t="inlineStr">
        <is>
          <t>P002</t>
        </is>
      </c>
      <c r="B93" t="inlineStr">
        <is>
          <t>Dr. Rahul Mehta</t>
        </is>
      </c>
      <c r="C93" t="inlineStr">
        <is>
          <t>Computer Science</t>
        </is>
      </c>
      <c r="D93" t="inlineStr">
        <is>
          <t>B.Tech (Information Technology)</t>
        </is>
      </c>
      <c r="E93" t="inlineStr">
        <is>
          <t>M.Tech (Computer Science)</t>
        </is>
      </c>
      <c r="F93" t="inlineStr">
        <is>
          <t>Ph.D. in Artificial Intelligence</t>
        </is>
      </c>
      <c r="G93" t="inlineStr">
        <is>
          <t>Ph.D.</t>
        </is>
      </c>
      <c r="H93" t="inlineStr">
        <is>
          <t>Artificial Intelligence</t>
        </is>
      </c>
      <c r="I93" t="inlineStr">
        <is>
          <t>Data Structures</t>
        </is>
      </c>
      <c r="J93" t="inlineStr">
        <is>
          <t>Computer Networks</t>
        </is>
      </c>
      <c r="K93" t="inlineStr">
        <is>
          <t>2nd</t>
        </is>
      </c>
      <c r="L93" t="inlineStr">
        <is>
          <t>Liberal Studies</t>
        </is>
      </c>
      <c r="M93" t="n">
        <v>2</v>
      </c>
      <c r="N93" t="n">
        <v>2</v>
      </c>
      <c r="O93" t="n">
        <v>3</v>
      </c>
      <c r="P93" t="n">
        <v>1</v>
      </c>
      <c r="Q93" t="n">
        <v>3</v>
      </c>
      <c r="R93" t="inlineStr">
        <is>
          <t>No</t>
        </is>
      </c>
      <c r="S93" t="inlineStr">
        <is>
          <t>Assignments are difficult.</t>
        </is>
      </c>
      <c r="T93" t="n">
        <v>2.33</v>
      </c>
      <c r="U93" t="n">
        <v>38</v>
      </c>
      <c r="V93" t="n">
        <v>6</v>
      </c>
      <c r="W93" t="n">
        <v>24</v>
      </c>
      <c r="X93" t="n">
        <v>20</v>
      </c>
      <c r="Y93" t="n">
        <v>0</v>
      </c>
      <c r="Z93" t="inlineStr">
        <is>
          <t>Yes</t>
        </is>
      </c>
      <c r="AA93">
        <f>IF(T93="","Missing",IF(T93&gt;=4,"High",IF(T93&gt;=3,"Moderate","Low")))</f>
        <v/>
      </c>
      <c r="AB93">
        <f>IF(COUNT(M93:O93)&lt;3,"Insufficient data",IF(MIN(M93:O93)=M93,"Teaching",IF(MIN(M93:O93)=N93,"Knowledge",IF(MIN(M93:O93)=O93,"Interaction",IF(P93&gt;=4,"High difficulty",IF(W93&gt;48,"Slow response","Balanced"))))))</f>
        <v/>
      </c>
      <c r="AC93">
        <f>IF(OR(T93&lt;3,P93&gt;=4,W93&gt;48),"At Risk","Stable")</f>
        <v/>
      </c>
      <c r="AD93">
        <f>IF(COUNT(M93:O93)&lt;3,"",ROUND((M93*0.30+N93*0.25+O93*0.25+(6-P93)*0.10+IF(W93&lt;=24,5,IF(W93&lt;=48,3,1))*0.10),2))</f>
        <v/>
      </c>
      <c r="AE93">
        <f>IF(AD93="","Unknown",IF(AD93&gt;=3.5,"Yes","No"))</f>
        <v/>
      </c>
      <c r="AF93">
        <f>IF(AC93="At Risk",IF(M93&lt;3,"Improve teaching clarity",IF(O93&lt;3,"Increase student interaction",IF(P93&gt;=4,"Reduce perceived difficulty with examples",IF(W93&gt;48,"Improve response time","Review student feedback")))),"Maintain current approach")</f>
        <v/>
      </c>
      <c r="AG93">
        <f>IF(AC93="At Risk","High",IF(T93&lt;4,"Medium","Low"))</f>
        <v/>
      </c>
    </row>
    <row r="94">
      <c r="A94" t="inlineStr">
        <is>
          <t>P003</t>
        </is>
      </c>
      <c r="B94" t="inlineStr">
        <is>
          <t>Prof. Neha Kapoor</t>
        </is>
      </c>
      <c r="C94" t="inlineStr">
        <is>
          <t>Business</t>
        </is>
      </c>
      <c r="D94" t="inlineStr">
        <is>
          <t>BBA</t>
        </is>
      </c>
      <c r="E94" t="inlineStr">
        <is>
          <t>MBA (Marketing)</t>
        </is>
      </c>
      <c r="F94" t="inlineStr">
        <is>
          <t>Ph.D. in Marketing Management</t>
        </is>
      </c>
      <c r="G94" t="inlineStr">
        <is>
          <t>Ph.D.</t>
        </is>
      </c>
      <c r="H94" t="inlineStr">
        <is>
          <t>Marketing</t>
        </is>
      </c>
      <c r="I94" t="inlineStr">
        <is>
          <t>Consumer Behaviour</t>
        </is>
      </c>
      <c r="J94" t="inlineStr">
        <is>
          <t>Digital Marketing</t>
        </is>
      </c>
      <c r="K94" t="inlineStr">
        <is>
          <t>4th</t>
        </is>
      </c>
      <c r="L94" t="inlineStr">
        <is>
          <t>ECE</t>
        </is>
      </c>
      <c r="M94" t="n">
        <v>3</v>
      </c>
      <c r="N94" t="n">
        <v>2</v>
      </c>
      <c r="O94" t="n">
        <v>4</v>
      </c>
      <c r="P94" t="n">
        <v>4</v>
      </c>
      <c r="Q94" t="n">
        <v>4</v>
      </c>
      <c r="R94" t="inlineStr">
        <is>
          <t>No</t>
        </is>
      </c>
      <c r="S94" t="inlineStr">
        <is>
          <t>Explains concepts clearly.</t>
        </is>
      </c>
      <c r="T94" t="n">
        <v>3</v>
      </c>
      <c r="U94" t="n">
        <v>22</v>
      </c>
      <c r="V94" t="n">
        <v>3</v>
      </c>
      <c r="W94" t="n">
        <v>4</v>
      </c>
      <c r="X94" t="n">
        <v>2</v>
      </c>
      <c r="Y94" t="n">
        <v>0</v>
      </c>
      <c r="Z94" t="inlineStr">
        <is>
          <t>Yes</t>
        </is>
      </c>
      <c r="AA94">
        <f>IF(T94="","Missing",IF(T94&gt;=4,"High",IF(T94&gt;=3,"Moderate","Low")))</f>
        <v/>
      </c>
      <c r="AB94">
        <f>IF(COUNT(M94:O94)&lt;3,"Insufficient data",IF(MIN(M94:O94)=M94,"Teaching",IF(MIN(M94:O94)=N94,"Knowledge",IF(MIN(M94:O94)=O94,"Interaction",IF(P94&gt;=4,"High difficulty",IF(W94&gt;48,"Slow response","Balanced"))))))</f>
        <v/>
      </c>
      <c r="AC94">
        <f>IF(OR(T94&lt;3,P94&gt;=4,W94&gt;48),"At Risk","Stable")</f>
        <v/>
      </c>
      <c r="AD94">
        <f>IF(COUNT(M94:O94)&lt;3,"",ROUND((M94*0.30+N94*0.25+O94*0.25+(6-P94)*0.10+IF(W94&lt;=24,5,IF(W94&lt;=48,3,1))*0.10),2))</f>
        <v/>
      </c>
      <c r="AE94">
        <f>IF(AD94="","Unknown",IF(AD94&gt;=3.5,"Yes","No"))</f>
        <v/>
      </c>
      <c r="AF94">
        <f>IF(AC94="At Risk",IF(M94&lt;3,"Improve teaching clarity",IF(O94&lt;3,"Increase student interaction",IF(P94&gt;=4,"Reduce perceived difficulty with examples",IF(W94&gt;48,"Improve response time","Review student feedback")))),"Maintain current approach")</f>
        <v/>
      </c>
      <c r="AG94">
        <f>IF(AC94="At Risk","High",IF(T94&lt;4,"Medium","Low"))</f>
        <v/>
      </c>
    </row>
    <row r="95">
      <c r="A95" t="inlineStr">
        <is>
          <t>P004</t>
        </is>
      </c>
      <c r="B95" t="inlineStr">
        <is>
          <t>Dr. Arjun Verma</t>
        </is>
      </c>
      <c r="C95" t="inlineStr">
        <is>
          <t>Business</t>
        </is>
      </c>
      <c r="D95" t="inlineStr">
        <is>
          <t>B.Com</t>
        </is>
      </c>
      <c r="E95" t="inlineStr">
        <is>
          <t>MBA (Finance)</t>
        </is>
      </c>
      <c r="F95" t="inlineStr">
        <is>
          <t>Ph.D. in Finance</t>
        </is>
      </c>
      <c r="G95" t="inlineStr">
        <is>
          <t>Ph.D.</t>
        </is>
      </c>
      <c r="H95" t="inlineStr">
        <is>
          <t>Finance</t>
        </is>
      </c>
      <c r="I95" t="inlineStr">
        <is>
          <t>Investment Analysis</t>
        </is>
      </c>
      <c r="J95" t="inlineStr">
        <is>
          <t>Business Statistics</t>
        </is>
      </c>
      <c r="K95" t="inlineStr">
        <is>
          <t>3rd</t>
        </is>
      </c>
      <c r="L95" t="inlineStr">
        <is>
          <t>CSE</t>
        </is>
      </c>
      <c r="M95" t="n">
        <v>2</v>
      </c>
      <c r="N95" t="n">
        <v>3</v>
      </c>
      <c r="O95" t="n">
        <v>4</v>
      </c>
      <c r="P95" t="n">
        <v>5</v>
      </c>
      <c r="Q95" t="n">
        <v>3</v>
      </c>
      <c r="R95" t="inlineStr">
        <is>
          <t>Yes</t>
        </is>
      </c>
      <c r="S95" t="inlineStr">
        <is>
          <t>Average teaching style.</t>
        </is>
      </c>
      <c r="T95" t="n">
        <v>3</v>
      </c>
      <c r="U95" t="n">
        <v>36</v>
      </c>
      <c r="V95" t="n">
        <v>2</v>
      </c>
      <c r="W95" t="n">
        <v>24</v>
      </c>
      <c r="X95" t="n">
        <v>8</v>
      </c>
      <c r="Y95" t="n">
        <v>6</v>
      </c>
      <c r="Z95" t="inlineStr">
        <is>
          <t>No</t>
        </is>
      </c>
      <c r="AA95">
        <f>IF(T95="","Missing",IF(T95&gt;=4,"High",IF(T95&gt;=3,"Moderate","Low")))</f>
        <v/>
      </c>
      <c r="AB95">
        <f>IF(COUNT(M95:O95)&lt;3,"Insufficient data",IF(MIN(M95:O95)=M95,"Teaching",IF(MIN(M95:O95)=N95,"Knowledge",IF(MIN(M95:O95)=O95,"Interaction",IF(P95&gt;=4,"High difficulty",IF(W95&gt;48,"Slow response","Balanced"))))))</f>
        <v/>
      </c>
      <c r="AC95">
        <f>IF(OR(T95&lt;3,P95&gt;=4,W95&gt;48),"At Risk","Stable")</f>
        <v/>
      </c>
      <c r="AD95">
        <f>IF(COUNT(M95:O95)&lt;3,"",ROUND((M95*0.30+N95*0.25+O95*0.25+(6-P95)*0.10+IF(W95&lt;=24,5,IF(W95&lt;=48,3,1))*0.10),2))</f>
        <v/>
      </c>
      <c r="AE95">
        <f>IF(AD95="","Unknown",IF(AD95&gt;=3.5,"Yes","No"))</f>
        <v/>
      </c>
      <c r="AF95">
        <f>IF(AC95="At Risk",IF(M95&lt;3,"Improve teaching clarity",IF(O95&lt;3,"Increase student interaction",IF(P95&gt;=4,"Reduce perceived difficulty with examples",IF(W95&gt;48,"Improve response time","Review student feedback")))),"Maintain current approach")</f>
        <v/>
      </c>
      <c r="AG95">
        <f>IF(AC95="At Risk","High",IF(T95&lt;4,"Medium","Low"))</f>
        <v/>
      </c>
    </row>
    <row r="96">
      <c r="A96" t="inlineStr">
        <is>
          <t>P005</t>
        </is>
      </c>
      <c r="B96" t="inlineStr">
        <is>
          <t>Dr. Simran Kaur</t>
        </is>
      </c>
      <c r="C96" t="inlineStr">
        <is>
          <t>Law</t>
        </is>
      </c>
      <c r="D96" t="inlineStr">
        <is>
          <t>B.A. LL.B. (Hons.)</t>
        </is>
      </c>
      <c r="E96" t="inlineStr">
        <is>
          <t>LL.M. (Constitutional Law)</t>
        </is>
      </c>
      <c r="F96" t="inlineStr">
        <is>
          <t>Ph.D. in Constitutional Law</t>
        </is>
      </c>
      <c r="G96" t="inlineStr">
        <is>
          <t>Ph.D.</t>
        </is>
      </c>
      <c r="H96" t="inlineStr">
        <is>
          <t>Constitutional Law</t>
        </is>
      </c>
      <c r="I96" t="inlineStr">
        <is>
          <t>Legal Research</t>
        </is>
      </c>
      <c r="J96" t="inlineStr">
        <is>
          <t>Jurisprudence</t>
        </is>
      </c>
      <c r="K96" t="inlineStr">
        <is>
          <t>2nd</t>
        </is>
      </c>
      <c r="L96" t="inlineStr">
        <is>
          <t>AI &amp; DS</t>
        </is>
      </c>
      <c r="M96" t="n">
        <v>5</v>
      </c>
      <c r="N96" t="n">
        <v>4</v>
      </c>
      <c r="O96" t="n">
        <v>3</v>
      </c>
      <c r="P96" t="n">
        <v>2</v>
      </c>
      <c r="Q96" t="n">
        <v>4</v>
      </c>
      <c r="R96" t="inlineStr">
        <is>
          <t>Yes</t>
        </is>
      </c>
      <c r="S96" t="inlineStr">
        <is>
          <t>Very supportive during class.</t>
        </is>
      </c>
      <c r="T96" t="n">
        <v>4</v>
      </c>
      <c r="U96" t="n">
        <v>20</v>
      </c>
      <c r="V96" t="n">
        <v>5</v>
      </c>
      <c r="W96" t="n">
        <v>4</v>
      </c>
      <c r="X96" t="n">
        <v>17</v>
      </c>
      <c r="Y96" t="n">
        <v>12</v>
      </c>
      <c r="Z96" t="inlineStr">
        <is>
          <t>No</t>
        </is>
      </c>
      <c r="AA96">
        <f>IF(T96="","Missing",IF(T96&gt;=4,"High",IF(T96&gt;=3,"Moderate","Low")))</f>
        <v/>
      </c>
      <c r="AB96">
        <f>IF(COUNT(M96:O96)&lt;3,"Insufficient data",IF(MIN(M96:O96)=M96,"Teaching",IF(MIN(M96:O96)=N96,"Knowledge",IF(MIN(M96:O96)=O96,"Interaction",IF(P96&gt;=4,"High difficulty",IF(W96&gt;48,"Slow response","Balanced"))))))</f>
        <v/>
      </c>
      <c r="AC96">
        <f>IF(OR(T96&lt;3,P96&gt;=4,W96&gt;48),"At Risk","Stable")</f>
        <v/>
      </c>
      <c r="AD96">
        <f>IF(COUNT(M96:O96)&lt;3,"",ROUND((M96*0.30+N96*0.25+O96*0.25+(6-P96)*0.10+IF(W96&lt;=24,5,IF(W96&lt;=48,3,1))*0.10),2))</f>
        <v/>
      </c>
      <c r="AE96">
        <f>IF(AD96="","Unknown",IF(AD96&gt;=3.5,"Yes","No"))</f>
        <v/>
      </c>
      <c r="AF96">
        <f>IF(AC96="At Risk",IF(M96&lt;3,"Improve teaching clarity",IF(O96&lt;3,"Increase student interaction",IF(P96&gt;=4,"Reduce perceived difficulty with examples",IF(W96&gt;48,"Improve response time","Review student feedback")))),"Maintain current approach")</f>
        <v/>
      </c>
      <c r="AG96">
        <f>IF(AC96="At Risk","High",IF(T96&lt;4,"Medium","Low"))</f>
        <v/>
      </c>
    </row>
    <row r="97">
      <c r="A97" t="inlineStr">
        <is>
          <t>P006</t>
        </is>
      </c>
      <c r="B97" t="inlineStr">
        <is>
          <t>Prof. Vivek Saini</t>
        </is>
      </c>
      <c r="C97" t="inlineStr">
        <is>
          <t>Law</t>
        </is>
      </c>
      <c r="D97" t="inlineStr">
        <is>
          <t>B.A. LL.B.</t>
        </is>
      </c>
      <c r="E97" t="inlineStr">
        <is>
          <t>LL.M. (Corporate Law)</t>
        </is>
      </c>
      <c r="G97" t="inlineStr">
        <is>
          <t>LL.M.</t>
        </is>
      </c>
      <c r="H97" t="inlineStr">
        <is>
          <t>Corporate Law</t>
        </is>
      </c>
      <c r="I97" t="inlineStr">
        <is>
          <t>Cyber Law</t>
        </is>
      </c>
      <c r="J97" t="inlineStr">
        <is>
          <t>IPR</t>
        </is>
      </c>
      <c r="K97" t="inlineStr">
        <is>
          <t>4th</t>
        </is>
      </c>
      <c r="L97" t="inlineStr">
        <is>
          <t>ECE</t>
        </is>
      </c>
      <c r="M97" t="n">
        <v>2</v>
      </c>
      <c r="N97" t="n">
        <v>1</v>
      </c>
      <c r="O97" t="n">
        <v>4</v>
      </c>
      <c r="P97" t="n">
        <v>5</v>
      </c>
      <c r="Q97" t="n">
        <v>4</v>
      </c>
      <c r="R97" t="inlineStr">
        <is>
          <t>No</t>
        </is>
      </c>
      <c r="S97" t="inlineStr">
        <is>
          <t>Excellent real-world case studies.</t>
        </is>
      </c>
      <c r="T97" t="n">
        <v>2.33</v>
      </c>
      <c r="U97" t="n">
        <v>23</v>
      </c>
      <c r="V97" t="n">
        <v>20</v>
      </c>
      <c r="W97" t="n">
        <v>2</v>
      </c>
      <c r="X97" t="n">
        <v>3</v>
      </c>
      <c r="Y97" t="n">
        <v>0</v>
      </c>
      <c r="Z97" t="inlineStr">
        <is>
          <t>No</t>
        </is>
      </c>
      <c r="AA97">
        <f>IF(T97="","Missing",IF(T97&gt;=4,"High",IF(T97&gt;=3,"Moderate","Low")))</f>
        <v/>
      </c>
      <c r="AB97">
        <f>IF(COUNT(M97:O97)&lt;3,"Insufficient data",IF(MIN(M97:O97)=M97,"Teaching",IF(MIN(M97:O97)=N97,"Knowledge",IF(MIN(M97:O97)=O97,"Interaction",IF(P97&gt;=4,"High difficulty",IF(W97&gt;48,"Slow response","Balanced"))))))</f>
        <v/>
      </c>
      <c r="AC97">
        <f>IF(OR(T97&lt;3,P97&gt;=4,W97&gt;48),"At Risk","Stable")</f>
        <v/>
      </c>
      <c r="AD97">
        <f>IF(COUNT(M97:O97)&lt;3,"",ROUND((M97*0.30+N97*0.25+O97*0.25+(6-P97)*0.10+IF(W97&lt;=24,5,IF(W97&lt;=48,3,1))*0.10),2))</f>
        <v/>
      </c>
      <c r="AE97">
        <f>IF(AD97="","Unknown",IF(AD97&gt;=3.5,"Yes","No"))</f>
        <v/>
      </c>
      <c r="AF97">
        <f>IF(AC97="At Risk",IF(M97&lt;3,"Improve teaching clarity",IF(O97&lt;3,"Increase student interaction",IF(P97&gt;=4,"Reduce perceived difficulty with examples",IF(W97&gt;48,"Improve response time","Review student feedback")))),"Maintain current approach")</f>
        <v/>
      </c>
      <c r="AG97">
        <f>IF(AC97="At Risk","High",IF(T97&lt;4,"Medium","Low"))</f>
        <v/>
      </c>
    </row>
    <row r="98">
      <c r="A98" t="inlineStr">
        <is>
          <t>P007</t>
        </is>
      </c>
      <c r="B98" t="inlineStr">
        <is>
          <t>Dr. Ritu Joshi</t>
        </is>
      </c>
      <c r="C98" t="inlineStr">
        <is>
          <t>Liberal Studies</t>
        </is>
      </c>
      <c r="D98" t="inlineStr">
        <is>
          <t>B.A. (Psychology)</t>
        </is>
      </c>
      <c r="E98" t="inlineStr">
        <is>
          <t>M.A. (Psychology)</t>
        </is>
      </c>
      <c r="F98" t="inlineStr">
        <is>
          <t>Ph.D. in Psychology</t>
        </is>
      </c>
      <c r="G98" t="inlineStr">
        <is>
          <t>Ph.D.</t>
        </is>
      </c>
      <c r="H98" t="inlineStr">
        <is>
          <t>Psychology</t>
        </is>
      </c>
      <c r="I98" t="inlineStr">
        <is>
          <t>Research Methodology</t>
        </is>
      </c>
      <c r="J98" t="inlineStr">
        <is>
          <t>Personality Development</t>
        </is>
      </c>
      <c r="K98" t="inlineStr">
        <is>
          <t>2nd</t>
        </is>
      </c>
      <c r="L98" t="inlineStr">
        <is>
          <t>CSE</t>
        </is>
      </c>
      <c r="M98" t="n">
        <v>3</v>
      </c>
      <c r="N98" t="n">
        <v>2</v>
      </c>
      <c r="O98" t="n">
        <v>3</v>
      </c>
      <c r="P98" t="n">
        <v>1</v>
      </c>
      <c r="Q98" t="n">
        <v>5</v>
      </c>
      <c r="R98" t="inlineStr">
        <is>
          <t>Yes</t>
        </is>
      </c>
      <c r="S98" t="inlineStr">
        <is>
          <t>Needs more practical examples.</t>
        </is>
      </c>
      <c r="T98" t="n">
        <v>2.67</v>
      </c>
      <c r="U98" t="n">
        <v>31</v>
      </c>
      <c r="V98" t="n">
        <v>1</v>
      </c>
      <c r="W98" t="n">
        <v>24</v>
      </c>
      <c r="X98" t="n">
        <v>32</v>
      </c>
      <c r="Y98" t="n">
        <v>13</v>
      </c>
      <c r="Z98" t="inlineStr">
        <is>
          <t>Yes</t>
        </is>
      </c>
      <c r="AA98">
        <f>IF(T98="","Missing",IF(T98&gt;=4,"High",IF(T98&gt;=3,"Moderate","Low")))</f>
        <v/>
      </c>
      <c r="AB98">
        <f>IF(COUNT(M98:O98)&lt;3,"Insufficient data",IF(MIN(M98:O98)=M98,"Teaching",IF(MIN(M98:O98)=N98,"Knowledge",IF(MIN(M98:O98)=O98,"Interaction",IF(P98&gt;=4,"High difficulty",IF(W98&gt;48,"Slow response","Balanced"))))))</f>
        <v/>
      </c>
      <c r="AC98">
        <f>IF(OR(T98&lt;3,P98&gt;=4,W98&gt;48),"At Risk","Stable")</f>
        <v/>
      </c>
      <c r="AD98">
        <f>IF(COUNT(M98:O98)&lt;3,"",ROUND((M98*0.30+N98*0.25+O98*0.25+(6-P98)*0.10+IF(W98&lt;=24,5,IF(W98&lt;=48,3,1))*0.10),2))</f>
        <v/>
      </c>
      <c r="AE98">
        <f>IF(AD98="","Unknown",IF(AD98&gt;=3.5,"Yes","No"))</f>
        <v/>
      </c>
      <c r="AF98">
        <f>IF(AC98="At Risk",IF(M98&lt;3,"Improve teaching clarity",IF(O98&lt;3,"Increase student interaction",IF(P98&gt;=4,"Reduce perceived difficulty with examples",IF(W98&gt;48,"Improve response time","Review student feedback")))),"Maintain current approach")</f>
        <v/>
      </c>
      <c r="AG98">
        <f>IF(AC98="At Risk","High",IF(T98&lt;4,"Medium","Low"))</f>
        <v/>
      </c>
    </row>
    <row r="99">
      <c r="A99" t="inlineStr">
        <is>
          <t>P008</t>
        </is>
      </c>
      <c r="B99" t="inlineStr">
        <is>
          <t>Prof. Karan Bhatia</t>
        </is>
      </c>
      <c r="C99" t="inlineStr">
        <is>
          <t>Liberal Studies</t>
        </is>
      </c>
      <c r="D99" t="inlineStr">
        <is>
          <t>B.A. (Sociology)</t>
        </is>
      </c>
      <c r="E99" t="inlineStr">
        <is>
          <t>M.A. (Sociology)</t>
        </is>
      </c>
      <c r="G99" t="inlineStr">
        <is>
          <t>M.A.</t>
        </is>
      </c>
      <c r="H99" t="inlineStr">
        <is>
          <t>Sociology</t>
        </is>
      </c>
      <c r="I99" t="inlineStr">
        <is>
          <t>Critical Thinking</t>
        </is>
      </c>
      <c r="J99" t="inlineStr">
        <is>
          <t>Communication Skills</t>
        </is>
      </c>
      <c r="K99" t="inlineStr">
        <is>
          <t>4th</t>
        </is>
      </c>
      <c r="L99" t="inlineStr">
        <is>
          <t>CSE</t>
        </is>
      </c>
      <c r="M99" t="n">
        <v>4</v>
      </c>
      <c r="N99" t="n">
        <v>3</v>
      </c>
      <c r="O99" t="n">
        <v>4</v>
      </c>
      <c r="P99" t="n">
        <v>4</v>
      </c>
      <c r="Q99" t="n">
        <v>5</v>
      </c>
      <c r="R99" t="inlineStr">
        <is>
          <t>Yes</t>
        </is>
      </c>
      <c r="S99" t="inlineStr">
        <is>
          <t>Explains concepts clearly.</t>
        </is>
      </c>
      <c r="T99" t="n">
        <v>3.67</v>
      </c>
      <c r="U99" t="n">
        <v>30</v>
      </c>
      <c r="V99" t="n">
        <v>6</v>
      </c>
      <c r="W99" t="n">
        <v>12</v>
      </c>
      <c r="X99" t="n">
        <v>29</v>
      </c>
      <c r="Y99" t="n">
        <v>2</v>
      </c>
      <c r="Z99" t="inlineStr">
        <is>
          <t>No</t>
        </is>
      </c>
      <c r="AA99">
        <f>IF(T99="","Missing",IF(T99&gt;=4,"High",IF(T99&gt;=3,"Moderate","Low")))</f>
        <v/>
      </c>
      <c r="AB99">
        <f>IF(COUNT(M99:O99)&lt;3,"Insufficient data",IF(MIN(M99:O99)=M99,"Teaching",IF(MIN(M99:O99)=N99,"Knowledge",IF(MIN(M99:O99)=O99,"Interaction",IF(P99&gt;=4,"High difficulty",IF(W99&gt;48,"Slow response","Balanced"))))))</f>
        <v/>
      </c>
      <c r="AC99">
        <f>IF(OR(T99&lt;3,P99&gt;=4,W99&gt;48),"At Risk","Stable")</f>
        <v/>
      </c>
      <c r="AD99">
        <f>IF(COUNT(M99:O99)&lt;3,"",ROUND((M99*0.30+N99*0.25+O99*0.25+(6-P99)*0.10+IF(W99&lt;=24,5,IF(W99&lt;=48,3,1))*0.10),2))</f>
        <v/>
      </c>
      <c r="AE99">
        <f>IF(AD99="","Unknown",IF(AD99&gt;=3.5,"Yes","No"))</f>
        <v/>
      </c>
      <c r="AF99">
        <f>IF(AC99="At Risk",IF(M99&lt;3,"Improve teaching clarity",IF(O99&lt;3,"Increase student interaction",IF(P99&gt;=4,"Reduce perceived difficulty with examples",IF(W99&gt;48,"Improve response time","Review student feedback")))),"Maintain current approach")</f>
        <v/>
      </c>
      <c r="AG99">
        <f>IF(AC99="At Risk","High",IF(T99&lt;4,"Medium","Low"))</f>
        <v/>
      </c>
    </row>
    <row r="100">
      <c r="A100" t="inlineStr">
        <is>
          <t>P009</t>
        </is>
      </c>
      <c r="B100" t="inlineStr">
        <is>
          <t>Dr. Priya Nanda</t>
        </is>
      </c>
      <c r="C100" t="inlineStr">
        <is>
          <t>Computer Science</t>
        </is>
      </c>
      <c r="D100" t="inlineStr">
        <is>
          <t>B.Tech (Computer Science)</t>
        </is>
      </c>
      <c r="E100" t="inlineStr">
        <is>
          <t>M.Tech (Machine Learning)</t>
        </is>
      </c>
      <c r="F100" t="inlineStr">
        <is>
          <t>Ph.D. in Computer Science</t>
        </is>
      </c>
      <c r="G100" t="inlineStr">
        <is>
          <t>Ph.D.</t>
        </is>
      </c>
      <c r="H100" t="inlineStr">
        <is>
          <t>Machine Learning</t>
        </is>
      </c>
      <c r="I100" t="inlineStr">
        <is>
          <t>Artificial Intelligence</t>
        </is>
      </c>
      <c r="J100" t="inlineStr">
        <is>
          <t>Data Mining</t>
        </is>
      </c>
      <c r="K100" t="inlineStr">
        <is>
          <t>3rd</t>
        </is>
      </c>
      <c r="L100" t="inlineStr">
        <is>
          <t>AI &amp; DS</t>
        </is>
      </c>
      <c r="M100" t="n">
        <v>3</v>
      </c>
      <c r="N100" t="n">
        <v>2</v>
      </c>
      <c r="O100" t="n">
        <v>2</v>
      </c>
      <c r="P100" t="n">
        <v>1</v>
      </c>
      <c r="Q100" t="n">
        <v>1</v>
      </c>
      <c r="R100" t="inlineStr">
        <is>
          <t>No</t>
        </is>
      </c>
      <c r="S100" t="inlineStr">
        <is>
          <t>Assignments are difficult.</t>
        </is>
      </c>
      <c r="T100" t="n">
        <v>2.33</v>
      </c>
      <c r="U100" t="n">
        <v>40</v>
      </c>
      <c r="V100" t="n">
        <v>0</v>
      </c>
      <c r="W100" t="n">
        <v>6</v>
      </c>
      <c r="X100" t="n">
        <v>35</v>
      </c>
      <c r="Y100" t="n">
        <v>13</v>
      </c>
      <c r="Z100" t="inlineStr">
        <is>
          <t>No</t>
        </is>
      </c>
      <c r="AA100">
        <f>IF(T100="","Missing",IF(T100&gt;=4,"High",IF(T100&gt;=3,"Moderate","Low")))</f>
        <v/>
      </c>
      <c r="AB100">
        <f>IF(COUNT(M100:O100)&lt;3,"Insufficient data",IF(MIN(M100:O100)=M100,"Teaching",IF(MIN(M100:O100)=N100,"Knowledge",IF(MIN(M100:O100)=O100,"Interaction",IF(P100&gt;=4,"High difficulty",IF(W100&gt;48,"Slow response","Balanced"))))))</f>
        <v/>
      </c>
      <c r="AC100">
        <f>IF(OR(T100&lt;3,P100&gt;=4,W100&gt;48),"At Risk","Stable")</f>
        <v/>
      </c>
      <c r="AD100">
        <f>IF(COUNT(M100:O100)&lt;3,"",ROUND((M100*0.30+N100*0.25+O100*0.25+(6-P100)*0.10+IF(W100&lt;=24,5,IF(W100&lt;=48,3,1))*0.10),2))</f>
        <v/>
      </c>
      <c r="AE100">
        <f>IF(AD100="","Unknown",IF(AD100&gt;=3.5,"Yes","No"))</f>
        <v/>
      </c>
      <c r="AF100">
        <f>IF(AC100="At Risk",IF(M100&lt;3,"Improve teaching clarity",IF(O100&lt;3,"Increase student interaction",IF(P100&gt;=4,"Reduce perceived difficulty with examples",IF(W100&gt;48,"Improve response time","Review student feedback")))),"Maintain current approach")</f>
        <v/>
      </c>
      <c r="AG100">
        <f>IF(AC100="At Risk","High",IF(T100&lt;4,"Medium","Low"))</f>
        <v/>
      </c>
    </row>
    <row r="101">
      <c r="A101" t="inlineStr">
        <is>
          <t>P010</t>
        </is>
      </c>
      <c r="B101" t="inlineStr">
        <is>
          <t>Dr. Mohit Arora</t>
        </is>
      </c>
      <c r="C101" t="inlineStr">
        <is>
          <t>Business</t>
        </is>
      </c>
      <c r="D101" t="inlineStr">
        <is>
          <t>BBA</t>
        </is>
      </c>
      <c r="E101" t="inlineStr">
        <is>
          <t>MBA (Business Analytics)</t>
        </is>
      </c>
      <c r="G101" t="inlineStr">
        <is>
          <t>MBA</t>
        </is>
      </c>
      <c r="H101" t="inlineStr">
        <is>
          <t>Business Analytics</t>
        </is>
      </c>
      <c r="I101" t="inlineStr">
        <is>
          <t>Operations Management</t>
        </is>
      </c>
      <c r="J101" t="inlineStr">
        <is>
          <t>Excel for Business</t>
        </is>
      </c>
      <c r="K101" t="inlineStr">
        <is>
          <t>2nd</t>
        </is>
      </c>
      <c r="L101" t="inlineStr">
        <is>
          <t>Liberal Studies</t>
        </is>
      </c>
      <c r="M101" t="n">
        <v>4</v>
      </c>
      <c r="N101" t="n">
        <v>5</v>
      </c>
      <c r="O101" t="n">
        <v>3</v>
      </c>
      <c r="P101" t="n">
        <v>1</v>
      </c>
      <c r="Q101" t="n">
        <v>2</v>
      </c>
      <c r="R101" t="inlineStr">
        <is>
          <t>Yes</t>
        </is>
      </c>
      <c r="S101" t="inlineStr">
        <is>
          <t>Assignments are difficult.</t>
        </is>
      </c>
      <c r="T101" t="n">
        <v>4</v>
      </c>
      <c r="U101" t="n">
        <v>25</v>
      </c>
      <c r="V101" t="n">
        <v>6</v>
      </c>
      <c r="W101" t="n">
        <v>48</v>
      </c>
      <c r="X101" t="n">
        <v>12</v>
      </c>
      <c r="Y101" t="n">
        <v>5</v>
      </c>
      <c r="Z101" t="inlineStr">
        <is>
          <t>No</t>
        </is>
      </c>
      <c r="AA101">
        <f>IF(T101="","Missing",IF(T101&gt;=4,"High",IF(T101&gt;=3,"Moderate","Low")))</f>
        <v/>
      </c>
      <c r="AB101">
        <f>IF(COUNT(M101:O101)&lt;3,"Insufficient data",IF(MIN(M101:O101)=M101,"Teaching",IF(MIN(M101:O101)=N101,"Knowledge",IF(MIN(M101:O101)=O101,"Interaction",IF(P101&gt;=4,"High difficulty",IF(W101&gt;48,"Slow response","Balanced"))))))</f>
        <v/>
      </c>
      <c r="AC101">
        <f>IF(OR(T101&lt;3,P101&gt;=4,W101&gt;48),"At Risk","Stable")</f>
        <v/>
      </c>
      <c r="AD101">
        <f>IF(COUNT(M101:O101)&lt;3,"",ROUND((M101*0.30+N101*0.25+O101*0.25+(6-P101)*0.10+IF(W101&lt;=24,5,IF(W101&lt;=48,3,1))*0.10),2))</f>
        <v/>
      </c>
      <c r="AE101">
        <f>IF(AD101="","Unknown",IF(AD101&gt;=3.5,"Yes","No"))</f>
        <v/>
      </c>
      <c r="AF101">
        <f>IF(AC101="At Risk",IF(M101&lt;3,"Improve teaching clarity",IF(O101&lt;3,"Increase student interaction",IF(P101&gt;=4,"Reduce perceived difficulty with examples",IF(W101&gt;48,"Improve response time","Review student feedback")))),"Maintain current approach")</f>
        <v/>
      </c>
      <c r="AG101">
        <f>IF(AC101="At Risk","High",IF(T101&lt;4,"Medium","Low"))</f>
        <v/>
      </c>
    </row>
  </sheetData>
  <autoFilter ref="A1:A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2026-08-26T06:20:29Z</dcterms:created>
  <dcterms:modified xmlns:dcterms="http://purl.org/dc/terms/" xmlns:xsi="http://www.w3.org/2001/XMLSchema-instance" xsi:type="dcterms:W3CDTF">2026-09-06T14:08:34Z</dcterms:modified>
</cp:coreProperties>
</file>